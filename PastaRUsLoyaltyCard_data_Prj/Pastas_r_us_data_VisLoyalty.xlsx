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fileSharing readOnlyRecommended="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From Laptop\DataSciMasters_Prj\"/>
    </mc:Choice>
  </mc:AlternateContent>
  <xr:revisionPtr revIDLastSave="0" documentId="13_ncr:1_{2C15BD04-76A9-4175-BDCA-DD932B359BB9}" xr6:coauthVersionLast="47" xr6:coauthVersionMax="47" xr10:uidLastSave="{00000000-0000-0000-0000-000000000000}"/>
  <bookViews>
    <workbookView xWindow="-110" yWindow="-110" windowWidth="19420" windowHeight="10560" tabRatio="337" firstSheet="2" activeTab="2" xr2:uid="{00000000-000D-0000-FFFF-FFFF00000000}"/>
  </bookViews>
  <sheets>
    <sheet name="ChartDataSheet_" sheetId="6" state="hidden" r:id="rId1"/>
    <sheet name="Data" sheetId="1" r:id="rId2"/>
    <sheet name="PastaData" sheetId="8" r:id="rId3"/>
    <sheet name="Dashboard" sheetId="9" r:id="rId4"/>
  </sheets>
  <definedNames>
    <definedName name="_xlnm.Print_Titles" localSheetId="1">Data!$A:$A,Data!$1:$2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76" i="8" l="1"/>
  <c r="J76" i="8"/>
  <c r="N75" i="8"/>
  <c r="J75" i="8"/>
  <c r="N74" i="8"/>
  <c r="J74" i="8"/>
  <c r="N73" i="8"/>
  <c r="J73" i="8"/>
  <c r="N72" i="8"/>
  <c r="J72" i="8"/>
  <c r="N71" i="8"/>
  <c r="J71" i="8"/>
  <c r="N70" i="8"/>
  <c r="J70" i="8"/>
  <c r="N69" i="8"/>
  <c r="J69" i="8"/>
  <c r="N68" i="8"/>
  <c r="J68" i="8"/>
  <c r="N67" i="8"/>
  <c r="J67" i="8"/>
  <c r="N66" i="8"/>
  <c r="J66" i="8"/>
  <c r="N65" i="8"/>
  <c r="J65" i="8"/>
  <c r="N64" i="8"/>
  <c r="J64" i="8"/>
  <c r="N63" i="8"/>
  <c r="J63" i="8"/>
  <c r="N62" i="8"/>
  <c r="J62" i="8"/>
  <c r="N61" i="8"/>
  <c r="J61" i="8"/>
  <c r="N60" i="8"/>
  <c r="J60" i="8"/>
  <c r="N59" i="8"/>
  <c r="J59" i="8"/>
  <c r="N58" i="8"/>
  <c r="J58" i="8"/>
  <c r="N57" i="8"/>
  <c r="J57" i="8"/>
  <c r="N56" i="8"/>
  <c r="J56" i="8"/>
  <c r="N55" i="8"/>
  <c r="J55" i="8"/>
  <c r="N52" i="8"/>
  <c r="J52" i="8"/>
  <c r="N53" i="8"/>
  <c r="J53" i="8"/>
  <c r="N54" i="8"/>
  <c r="J54" i="8"/>
  <c r="N50" i="8"/>
  <c r="J50" i="8"/>
  <c r="N51" i="8"/>
  <c r="J51" i="8"/>
  <c r="N49" i="8"/>
  <c r="J49" i="8"/>
  <c r="N48" i="8"/>
  <c r="J48" i="8"/>
  <c r="N47" i="8"/>
  <c r="J47" i="8"/>
  <c r="N44" i="8"/>
  <c r="J44" i="8"/>
  <c r="N45" i="8"/>
  <c r="J45" i="8"/>
  <c r="N46" i="8"/>
  <c r="J46" i="8"/>
  <c r="N43" i="8"/>
  <c r="J43" i="8"/>
  <c r="N42" i="8"/>
  <c r="J42" i="8"/>
  <c r="N40" i="8"/>
  <c r="J40" i="8"/>
  <c r="N41" i="8"/>
  <c r="J41" i="8"/>
  <c r="N39" i="8"/>
  <c r="J39" i="8"/>
  <c r="N38" i="8"/>
  <c r="J38" i="8"/>
  <c r="N37" i="8"/>
  <c r="J37" i="8"/>
  <c r="N35" i="8"/>
  <c r="J35" i="8"/>
  <c r="N36" i="8"/>
  <c r="J36" i="8"/>
  <c r="N34" i="8"/>
  <c r="J34" i="8"/>
  <c r="N33" i="8"/>
  <c r="J33" i="8"/>
  <c r="N31" i="8"/>
  <c r="J31" i="8"/>
  <c r="N32" i="8"/>
  <c r="J32" i="8"/>
  <c r="N29" i="8"/>
  <c r="J29" i="8"/>
  <c r="N30" i="8"/>
  <c r="J30" i="8"/>
  <c r="N27" i="8"/>
  <c r="J27" i="8"/>
  <c r="N28" i="8"/>
  <c r="J28" i="8"/>
  <c r="N26" i="8"/>
  <c r="J26" i="8"/>
  <c r="N24" i="8"/>
  <c r="J24" i="8"/>
  <c r="N25" i="8"/>
  <c r="J25" i="8"/>
  <c r="N23" i="8"/>
  <c r="J23" i="8"/>
  <c r="N22" i="8"/>
  <c r="J22" i="8"/>
  <c r="N20" i="8"/>
  <c r="J20" i="8"/>
  <c r="N21" i="8"/>
  <c r="J21" i="8"/>
  <c r="N19" i="8"/>
  <c r="J19" i="8"/>
  <c r="N17" i="8"/>
  <c r="J17" i="8"/>
  <c r="N18" i="8"/>
  <c r="J18" i="8"/>
  <c r="N16" i="8"/>
  <c r="J16" i="8"/>
  <c r="N15" i="8"/>
  <c r="J15" i="8"/>
  <c r="N14" i="8"/>
  <c r="J14" i="8"/>
  <c r="N13" i="8"/>
  <c r="J13" i="8"/>
  <c r="N12" i="8"/>
  <c r="J12" i="8"/>
  <c r="N11" i="8"/>
  <c r="J11" i="8"/>
  <c r="N10" i="8"/>
  <c r="J10" i="8"/>
  <c r="N9" i="8"/>
  <c r="J9" i="8"/>
  <c r="N8" i="8"/>
  <c r="J8" i="8"/>
  <c r="N7" i="8"/>
  <c r="J7" i="8"/>
  <c r="N6" i="8"/>
  <c r="J6" i="8"/>
  <c r="N5" i="8"/>
  <c r="J5" i="8"/>
  <c r="N4" i="8"/>
  <c r="J4" i="8"/>
  <c r="N3" i="8"/>
  <c r="J3" i="8"/>
  <c r="C85" i="1"/>
  <c r="N68" i="1"/>
  <c r="N69" i="1"/>
  <c r="N70" i="1"/>
  <c r="N71" i="1"/>
  <c r="N72" i="1"/>
  <c r="N73" i="1"/>
  <c r="N74" i="1"/>
  <c r="N75" i="1"/>
  <c r="N76" i="1"/>
  <c r="N67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48" i="1"/>
  <c r="N47" i="1"/>
  <c r="N38" i="1"/>
  <c r="N39" i="1"/>
  <c r="N40" i="1"/>
  <c r="N41" i="1"/>
  <c r="N42" i="1"/>
  <c r="N43" i="1"/>
  <c r="N44" i="1"/>
  <c r="N45" i="1"/>
  <c r="N46" i="1"/>
  <c r="N37" i="1"/>
  <c r="N25" i="1"/>
  <c r="N26" i="1"/>
  <c r="N27" i="1"/>
  <c r="N28" i="1"/>
  <c r="N29" i="1"/>
  <c r="N30" i="1"/>
  <c r="N31" i="1"/>
  <c r="N32" i="1"/>
  <c r="N33" i="1"/>
  <c r="N34" i="1"/>
  <c r="N35" i="1"/>
  <c r="N36" i="1"/>
  <c r="N16" i="1"/>
  <c r="N17" i="1"/>
  <c r="N18" i="1"/>
  <c r="N19" i="1"/>
  <c r="N20" i="1"/>
  <c r="N21" i="1"/>
  <c r="N22" i="1"/>
  <c r="N23" i="1"/>
  <c r="N24" i="1"/>
  <c r="N14" i="1"/>
  <c r="N15" i="1"/>
  <c r="N6" i="1"/>
  <c r="N7" i="1"/>
  <c r="N8" i="1"/>
  <c r="N9" i="1"/>
  <c r="N10" i="1"/>
  <c r="N11" i="1"/>
  <c r="N12" i="1"/>
  <c r="N13" i="1"/>
  <c r="N5" i="1"/>
  <c r="N3" i="1"/>
  <c r="N4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6" i="1"/>
  <c r="J5" i="1"/>
  <c r="J4" i="1"/>
  <c r="C82" i="1"/>
  <c r="B82" i="1"/>
  <c r="E82" i="1"/>
  <c r="E85" i="1"/>
  <c r="G85" i="1"/>
  <c r="H85" i="1"/>
  <c r="I85" i="1"/>
  <c r="D85" i="1"/>
  <c r="F85" i="1"/>
  <c r="B85" i="1"/>
  <c r="H84" i="1"/>
  <c r="I84" i="1"/>
  <c r="D84" i="1"/>
  <c r="E84" i="1"/>
  <c r="F84" i="1"/>
  <c r="G84" i="1"/>
  <c r="C84" i="1"/>
  <c r="I83" i="1"/>
  <c r="G83" i="1"/>
  <c r="H83" i="1"/>
  <c r="D83" i="1"/>
  <c r="E83" i="1"/>
  <c r="F83" i="1"/>
  <c r="C83" i="1"/>
  <c r="B83" i="1"/>
  <c r="I81" i="1"/>
  <c r="G81" i="1"/>
  <c r="H81" i="1"/>
  <c r="E81" i="1"/>
  <c r="F81" i="1"/>
  <c r="D81" i="1"/>
  <c r="C81" i="1"/>
  <c r="B81" i="1"/>
  <c r="H82" i="1"/>
  <c r="I82" i="1"/>
  <c r="F82" i="1"/>
  <c r="G82" i="1"/>
  <c r="D82" i="1"/>
  <c r="D80" i="1"/>
  <c r="H80" i="1"/>
  <c r="I80" i="1"/>
  <c r="F80" i="1"/>
  <c r="G80" i="1"/>
  <c r="E80" i="1"/>
  <c r="I79" i="1"/>
  <c r="G79" i="1"/>
  <c r="H79" i="1"/>
  <c r="E79" i="1"/>
  <c r="F79" i="1"/>
  <c r="D79" i="1"/>
  <c r="B80" i="1"/>
  <c r="C80" i="1"/>
  <c r="B79" i="1"/>
  <c r="C79" i="1"/>
  <c r="G78" i="1"/>
  <c r="H78" i="1"/>
  <c r="I78" i="1"/>
  <c r="F78" i="1"/>
  <c r="E78" i="1"/>
  <c r="D78" i="1"/>
  <c r="C78" i="1"/>
  <c r="B78" i="1"/>
  <c r="J3" i="1"/>
  <c r="B84" i="1"/>
  <c r="F86" i="1" l="1"/>
  <c r="E86" i="1"/>
  <c r="H86" i="1"/>
  <c r="J84" i="1"/>
  <c r="D86" i="1"/>
  <c r="B86" i="1"/>
  <c r="J79" i="1"/>
  <c r="C86" i="1"/>
  <c r="G86" i="1"/>
  <c r="J83" i="1"/>
  <c r="J78" i="1"/>
  <c r="J80" i="1"/>
  <c r="J81" i="1"/>
  <c r="J85" i="1"/>
  <c r="J82" i="1"/>
  <c r="I86" i="1"/>
  <c r="J86" i="1" l="1"/>
</calcChain>
</file>

<file path=xl/sharedStrings.xml><?xml version="1.0" encoding="utf-8"?>
<sst xmlns="http://schemas.openxmlformats.org/spreadsheetml/2006/main" count="87" uniqueCount="49">
  <si>
    <t>This worksheet contains values required for MegaStat charts.</t>
  </si>
  <si>
    <t>Residuals X data  3/19/2007 7:49.25</t>
  </si>
  <si>
    <t>NormalPlot data  3/19/2007 7:49.03</t>
  </si>
  <si>
    <t>Residuals X data  3/19/2007 8:01.41</t>
  </si>
  <si>
    <t>NormalPlot data  3/19/2007 8:01.03</t>
  </si>
  <si>
    <t>Square Feet</t>
  </si>
  <si>
    <t>Per Person Average Spending</t>
  </si>
  <si>
    <t>Sales Growth Over Previous Year (%)</t>
  </si>
  <si>
    <t>Loyalty Card % of Net Sales</t>
  </si>
  <si>
    <t>Annual Sales Per Sq Ft</t>
  </si>
  <si>
    <t>Median Age (3 Miles)</t>
  </si>
  <si>
    <t>Obs</t>
  </si>
  <si>
    <t>SqFt</t>
  </si>
  <si>
    <t>Sales/Person</t>
  </si>
  <si>
    <t>SalesGrowth%</t>
  </si>
  <si>
    <t>LoyaltyCard%</t>
  </si>
  <si>
    <t>Sales/SqFt</t>
  </si>
  <si>
    <t>MedIncome</t>
  </si>
  <si>
    <t>MedAge</t>
  </si>
  <si>
    <t>BachDeg%</t>
  </si>
  <si>
    <t>Annual Sales
(in $000)</t>
  </si>
  <si>
    <t>% w/ Bachelor's Degree
(3 Miles)</t>
  </si>
  <si>
    <t>Median Household Income 
(3 Miles)</t>
  </si>
  <si>
    <t>Location number 
(Obs)</t>
  </si>
  <si>
    <t>Mean</t>
  </si>
  <si>
    <t>Min</t>
  </si>
  <si>
    <t>Q1</t>
  </si>
  <si>
    <t>Median</t>
  </si>
  <si>
    <t>Q3</t>
  </si>
  <si>
    <t>Max</t>
  </si>
  <si>
    <t>Skew</t>
  </si>
  <si>
    <t>IQR</t>
  </si>
  <si>
    <t>Standard. Dev.</t>
  </si>
  <si>
    <t>AnnualSales</t>
  </si>
  <si>
    <t>Engagment rate(%)</t>
  </si>
  <si>
    <t>Enrollent Rate(%)</t>
  </si>
  <si>
    <t>EnrollRate(%)</t>
  </si>
  <si>
    <t>EngagmentRate(%)</t>
  </si>
  <si>
    <t xml:space="preserve"> Redemption rate(%)</t>
  </si>
  <si>
    <t xml:space="preserve"> retention rate(%)</t>
  </si>
  <si>
    <t xml:space="preserve">  net promoter score</t>
  </si>
  <si>
    <t xml:space="preserve"> net promoter score</t>
  </si>
  <si>
    <t xml:space="preserve"> LifeTimeValue(average)</t>
  </si>
  <si>
    <t>Customer acquisition cost(in $000)</t>
  </si>
  <si>
    <t xml:space="preserve"> Customer Lifetime value(in $000)</t>
  </si>
  <si>
    <t xml:space="preserve"> CSS(%)</t>
  </si>
  <si>
    <t>CAC(average)</t>
  </si>
  <si>
    <t xml:space="preserve">  customer satisfaction score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</si>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</sst>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,##0;[Red]#,##0"/>
    <numFmt numFmtId="166" formatCode="0;[Red]0"/>
    <numFmt numFmtId="167" formatCode="&quot;$&quot;#,##0.00"/>
    <numFmt numFmtId="168" formatCode="&quot;$&quot;#,##0.00;[Red]&quot;$&quot;#,##0.00"/>
  </numFmts>
  <fonts count="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i/>
      <sz val="10"/>
      <color indexed="12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55"/>
      </left>
      <right/>
      <top style="thin">
        <color indexed="55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4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4" borderId="1" xfId="0" applyFont="1" applyFill="1" applyBorder="1"/>
    <xf numFmtId="2" fontId="1" fillId="4" borderId="1" xfId="0" applyNumberFormat="1" applyFont="1" applyFill="1" applyBorder="1"/>
    <xf numFmtId="49" fontId="1" fillId="3" borderId="1" xfId="0" applyNumberFormat="1" applyFont="1" applyFill="1" applyBorder="1" applyAlignment="1">
      <alignment horizontal="center" wrapText="1"/>
    </xf>
    <xf numFmtId="49" fontId="1" fillId="3" borderId="2" xfId="0" applyNumberFormat="1" applyFont="1" applyFill="1" applyBorder="1" applyAlignment="1">
      <alignment horizontal="center" wrapText="1"/>
    </xf>
    <xf numFmtId="0" fontId="1" fillId="0" borderId="1" xfId="0" applyFont="1" applyBorder="1"/>
    <xf numFmtId="0" fontId="3" fillId="0" borderId="1" xfId="0" applyFont="1" applyBorder="1"/>
    <xf numFmtId="49" fontId="4" fillId="2" borderId="3" xfId="0" applyNumberFormat="1" applyFont="1" applyFill="1" applyBorder="1" applyAlignment="1">
      <alignment horizontal="center" vertical="top" wrapText="1"/>
    </xf>
    <xf numFmtId="49" fontId="4" fillId="4" borderId="4" xfId="0" applyNumberFormat="1" applyFont="1" applyFill="1" applyBorder="1" applyAlignment="1">
      <alignment horizontal="center" vertical="top" wrapText="1"/>
    </xf>
    <xf numFmtId="43" fontId="1" fillId="0" borderId="1" xfId="1" applyFont="1" applyBorder="1" applyAlignment="1">
      <alignment horizontal="right"/>
    </xf>
    <xf numFmtId="2" fontId="1" fillId="0" borderId="1" xfId="1" applyNumberFormat="1" applyFont="1" applyBorder="1" applyAlignment="1">
      <alignment horizontal="right"/>
    </xf>
    <xf numFmtId="43" fontId="1" fillId="0" borderId="1" xfId="1" applyFont="1" applyBorder="1"/>
    <xf numFmtId="39" fontId="1" fillId="0" borderId="1" xfId="0" applyNumberFormat="1" applyFont="1" applyBorder="1" applyAlignment="1">
      <alignment horizontal="right"/>
    </xf>
    <xf numFmtId="1" fontId="1" fillId="0" borderId="1" xfId="2" applyNumberFormat="1" applyFont="1" applyBorder="1" applyAlignment="1">
      <alignment horizontal="right"/>
    </xf>
    <xf numFmtId="164" fontId="1" fillId="0" borderId="1" xfId="1" applyNumberFormat="1" applyFont="1" applyBorder="1" applyAlignment="1">
      <alignment horizontal="right"/>
    </xf>
    <xf numFmtId="1" fontId="1" fillId="0" borderId="1" xfId="3" applyNumberFormat="1" applyFont="1" applyBorder="1" applyAlignment="1">
      <alignment horizontal="right"/>
    </xf>
    <xf numFmtId="49" fontId="4" fillId="2" borderId="5" xfId="0" applyNumberFormat="1" applyFont="1" applyFill="1" applyBorder="1" applyAlignment="1">
      <alignment horizontal="center" vertical="top" wrapText="1"/>
    </xf>
    <xf numFmtId="0" fontId="0" fillId="0" borderId="6" xfId="0" applyBorder="1"/>
    <xf numFmtId="49" fontId="4" fillId="2" borderId="1" xfId="0" applyNumberFormat="1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3" fillId="0" borderId="7" xfId="0" applyFont="1" applyBorder="1"/>
    <xf numFmtId="43" fontId="3" fillId="0" borderId="1" xfId="0" applyNumberFormat="1" applyFont="1" applyBorder="1"/>
    <xf numFmtId="2" fontId="3" fillId="0" borderId="1" xfId="0" applyNumberFormat="1" applyFont="1" applyBorder="1"/>
    <xf numFmtId="2" fontId="3" fillId="0" borderId="1" xfId="1" applyNumberFormat="1" applyFont="1" applyBorder="1"/>
    <xf numFmtId="1" fontId="1" fillId="0" borderId="6" xfId="3" applyNumberFormat="1" applyFont="1" applyBorder="1"/>
    <xf numFmtId="1" fontId="1" fillId="0" borderId="6" xfId="1" applyNumberFormat="1" applyFont="1" applyBorder="1"/>
    <xf numFmtId="165" fontId="1" fillId="0" borderId="6" xfId="1" applyNumberFormat="1" applyFont="1" applyBorder="1"/>
    <xf numFmtId="49" fontId="4" fillId="2" borderId="8" xfId="0" applyNumberFormat="1" applyFont="1" applyFill="1" applyBorder="1" applyAlignment="1">
      <alignment horizontal="center" vertical="top" wrapText="1"/>
    </xf>
    <xf numFmtId="49" fontId="1" fillId="3" borderId="1" xfId="0" applyNumberFormat="1" applyFont="1" applyFill="1" applyBorder="1" applyAlignment="1">
      <alignment horizontal="center" vertical="top" wrapText="1"/>
    </xf>
    <xf numFmtId="166" fontId="0" fillId="0" borderId="1" xfId="0" applyNumberFormat="1" applyBorder="1"/>
    <xf numFmtId="166" fontId="0" fillId="0" borderId="1" xfId="0" applyNumberFormat="1" applyBorder="1" applyAlignment="1">
      <alignment vertical="top"/>
    </xf>
    <xf numFmtId="167" fontId="1" fillId="0" borderId="1" xfId="0" applyNumberFormat="1" applyFont="1" applyBorder="1"/>
    <xf numFmtId="168" fontId="0" fillId="0" borderId="1" xfId="0" applyNumberFormat="1" applyBorder="1"/>
    <xf numFmtId="2" fontId="3" fillId="0" borderId="7" xfId="0" applyNumberFormat="1" applyFont="1" applyBorder="1"/>
    <xf numFmtId="0" fontId="1" fillId="0" borderId="7" xfId="0" applyFont="1" applyBorder="1"/>
    <xf numFmtId="43" fontId="3" fillId="0" borderId="0" xfId="0" applyNumberFormat="1" applyFont="1"/>
    <xf numFmtId="0" fontId="1" fillId="0" borderId="0" xfId="0" applyFont="1"/>
    <xf numFmtId="49" fontId="1" fillId="3" borderId="2" xfId="0" applyNumberFormat="1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1" fillId="0" borderId="1" xfId="1" applyNumberFormat="1" applyFont="1" applyBorder="1"/>
    <xf numFmtId="167" fontId="4" fillId="2" borderId="3" xfId="0" applyNumberFormat="1" applyFont="1" applyFill="1" applyBorder="1" applyAlignment="1">
      <alignment horizontal="center" vertical="top" wrapText="1"/>
    </xf>
    <xf numFmtId="2" fontId="1" fillId="3" borderId="1" xfId="0" applyNumberFormat="1" applyFont="1" applyFill="1" applyBorder="1" applyAlignment="1">
      <alignment horizontal="center" vertical="top" wrapText="1"/>
    </xf>
    <xf numFmtId="49" fontId="1" fillId="3" borderId="1" xfId="3" applyNumberFormat="1" applyFont="1" applyFill="1" applyBorder="1" applyAlignment="1">
      <alignment horizontal="center" vertical="top" wrapText="1"/>
    </xf>
    <xf numFmtId="167" fontId="1" fillId="0" borderId="1" xfId="2" applyNumberFormat="1" applyFont="1" applyBorder="1" applyAlignment="1">
      <alignment horizontal="right"/>
    </xf>
  </cellXfs>
  <cellStyles count="5">
    <cellStyle name="Comma" xfId="1" builtinId="3"/>
    <cellStyle name="Currency" xfId="2" builtinId="4"/>
    <cellStyle name="Normal" xfId="0" builtinId="0"/>
    <cellStyle name="Normal 2" xfId="4" xr:uid="{23A58476-2007-40A0-B653-A194DF6D4E35}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5"/>
  <sheetViews>
    <sheetView workbookViewId="0">
      <selection activeCell="A232" sqref="A232:A305"/>
    </sheetView>
  </sheetViews>
  <sheetFormatPr defaultRowHeight="12.5" x14ac:dyDescent="0.25"/>
  <sheetData>
    <row r="1" spans="1:5" x14ac:dyDescent="0.25">
      <c r="A1" t="s">
        <v>0</v>
      </c>
    </row>
    <row r="3" spans="1:5" x14ac:dyDescent="0.25">
      <c r="A3" t="s">
        <v>1</v>
      </c>
    </row>
    <row r="4" spans="1:5" x14ac:dyDescent="0.25">
      <c r="A4">
        <v>66</v>
      </c>
      <c r="B4">
        <v>18</v>
      </c>
      <c r="C4">
        <v>45177</v>
      </c>
      <c r="D4">
        <v>34.4</v>
      </c>
      <c r="E4">
        <v>31</v>
      </c>
    </row>
    <row r="5" spans="1:5" x14ac:dyDescent="0.25">
      <c r="A5">
        <v>69</v>
      </c>
      <c r="B5">
        <v>16</v>
      </c>
      <c r="C5">
        <v>51888</v>
      </c>
      <c r="D5">
        <v>41.2</v>
      </c>
      <c r="E5">
        <v>20</v>
      </c>
    </row>
    <row r="6" spans="1:5" x14ac:dyDescent="0.25">
      <c r="A6">
        <v>67</v>
      </c>
      <c r="B6">
        <v>10</v>
      </c>
      <c r="C6">
        <v>51379</v>
      </c>
      <c r="D6">
        <v>40.299999999999997</v>
      </c>
      <c r="E6">
        <v>24</v>
      </c>
    </row>
    <row r="7" spans="1:5" x14ac:dyDescent="0.25">
      <c r="A7">
        <v>70</v>
      </c>
      <c r="B7">
        <v>4</v>
      </c>
      <c r="C7">
        <v>66081</v>
      </c>
      <c r="D7">
        <v>35.4</v>
      </c>
      <c r="E7">
        <v>29</v>
      </c>
    </row>
    <row r="8" spans="1:5" x14ac:dyDescent="0.25">
      <c r="A8">
        <v>78</v>
      </c>
      <c r="B8">
        <v>0</v>
      </c>
      <c r="C8">
        <v>50999</v>
      </c>
      <c r="D8">
        <v>31.5</v>
      </c>
      <c r="E8">
        <v>18</v>
      </c>
    </row>
    <row r="9" spans="1:5" x14ac:dyDescent="0.25">
      <c r="A9">
        <v>62</v>
      </c>
      <c r="B9">
        <v>28</v>
      </c>
      <c r="C9">
        <v>41562</v>
      </c>
      <c r="D9">
        <v>36.299999999999997</v>
      </c>
      <c r="E9">
        <v>30</v>
      </c>
    </row>
    <row r="10" spans="1:5" x14ac:dyDescent="0.25">
      <c r="A10">
        <v>70</v>
      </c>
      <c r="B10">
        <v>28</v>
      </c>
      <c r="C10">
        <v>44196</v>
      </c>
      <c r="D10">
        <v>35.1</v>
      </c>
      <c r="E10">
        <v>14</v>
      </c>
    </row>
    <row r="11" spans="1:5" x14ac:dyDescent="0.25">
      <c r="A11">
        <v>84</v>
      </c>
      <c r="B11">
        <v>29</v>
      </c>
      <c r="C11">
        <v>50975</v>
      </c>
      <c r="D11">
        <v>37.6</v>
      </c>
      <c r="E11">
        <v>33</v>
      </c>
    </row>
    <row r="12" spans="1:5" x14ac:dyDescent="0.25">
      <c r="A12">
        <v>68</v>
      </c>
      <c r="B12">
        <v>22</v>
      </c>
      <c r="C12">
        <v>72808</v>
      </c>
      <c r="D12">
        <v>34.9</v>
      </c>
      <c r="E12">
        <v>28</v>
      </c>
    </row>
    <row r="13" spans="1:5" x14ac:dyDescent="0.25">
      <c r="A13">
        <v>60</v>
      </c>
      <c r="B13">
        <v>42</v>
      </c>
      <c r="C13">
        <v>79070</v>
      </c>
      <c r="D13">
        <v>34.799999999999997</v>
      </c>
      <c r="E13">
        <v>29</v>
      </c>
    </row>
    <row r="14" spans="1:5" x14ac:dyDescent="0.25">
      <c r="A14">
        <v>80</v>
      </c>
      <c r="B14">
        <v>36</v>
      </c>
      <c r="C14">
        <v>78497</v>
      </c>
      <c r="D14">
        <v>36.200000000000003</v>
      </c>
      <c r="E14">
        <v>39</v>
      </c>
    </row>
    <row r="15" spans="1:5" x14ac:dyDescent="0.25">
      <c r="A15">
        <v>64</v>
      </c>
      <c r="B15">
        <v>32</v>
      </c>
      <c r="C15">
        <v>41245</v>
      </c>
      <c r="D15">
        <v>32.200000000000003</v>
      </c>
      <c r="E15">
        <v>23</v>
      </c>
    </row>
    <row r="16" spans="1:5" x14ac:dyDescent="0.25">
      <c r="A16">
        <v>80</v>
      </c>
      <c r="B16">
        <v>22</v>
      </c>
      <c r="C16">
        <v>33003</v>
      </c>
      <c r="D16">
        <v>30.9</v>
      </c>
      <c r="E16">
        <v>22</v>
      </c>
    </row>
    <row r="17" spans="1:5" x14ac:dyDescent="0.25">
      <c r="A17">
        <v>88</v>
      </c>
      <c r="B17">
        <v>78</v>
      </c>
      <c r="C17">
        <v>90988</v>
      </c>
      <c r="D17">
        <v>37.700000000000003</v>
      </c>
      <c r="E17">
        <v>37</v>
      </c>
    </row>
    <row r="18" spans="1:5" x14ac:dyDescent="0.25">
      <c r="A18">
        <v>42</v>
      </c>
      <c r="B18">
        <v>35</v>
      </c>
      <c r="C18">
        <v>37950</v>
      </c>
      <c r="D18">
        <v>34.299999999999997</v>
      </c>
      <c r="E18">
        <v>24</v>
      </c>
    </row>
    <row r="19" spans="1:5" x14ac:dyDescent="0.25">
      <c r="A19">
        <v>68</v>
      </c>
      <c r="B19">
        <v>32</v>
      </c>
      <c r="C19">
        <v>45206</v>
      </c>
      <c r="D19">
        <v>32.4</v>
      </c>
      <c r="E19">
        <v>17</v>
      </c>
    </row>
    <row r="20" spans="1:5" x14ac:dyDescent="0.25">
      <c r="A20">
        <v>80</v>
      </c>
      <c r="B20">
        <v>48</v>
      </c>
      <c r="C20">
        <v>79312</v>
      </c>
      <c r="D20">
        <v>32.1</v>
      </c>
      <c r="E20">
        <v>37</v>
      </c>
    </row>
    <row r="21" spans="1:5" x14ac:dyDescent="0.25">
      <c r="A21">
        <v>84</v>
      </c>
      <c r="B21">
        <v>32</v>
      </c>
      <c r="C21">
        <v>37345</v>
      </c>
      <c r="D21">
        <v>31.4</v>
      </c>
      <c r="E21">
        <v>22</v>
      </c>
    </row>
    <row r="22" spans="1:5" x14ac:dyDescent="0.25">
      <c r="A22">
        <v>35</v>
      </c>
      <c r="B22">
        <v>27</v>
      </c>
      <c r="C22">
        <v>46226</v>
      </c>
      <c r="D22">
        <v>30.4</v>
      </c>
      <c r="E22">
        <v>36</v>
      </c>
    </row>
    <row r="23" spans="1:5" x14ac:dyDescent="0.25">
      <c r="A23">
        <v>84</v>
      </c>
      <c r="B23">
        <v>24</v>
      </c>
      <c r="C23">
        <v>70024</v>
      </c>
      <c r="D23">
        <v>33.9</v>
      </c>
      <c r="E23">
        <v>34</v>
      </c>
    </row>
    <row r="24" spans="1:5" x14ac:dyDescent="0.25">
      <c r="A24">
        <v>78</v>
      </c>
      <c r="B24">
        <v>16</v>
      </c>
      <c r="C24">
        <v>54982</v>
      </c>
      <c r="D24">
        <v>35.6</v>
      </c>
      <c r="E24">
        <v>26</v>
      </c>
    </row>
    <row r="25" spans="1:5" x14ac:dyDescent="0.25">
      <c r="A25">
        <v>80</v>
      </c>
      <c r="B25">
        <v>39</v>
      </c>
      <c r="C25">
        <v>54932</v>
      </c>
      <c r="D25">
        <v>35.9</v>
      </c>
      <c r="E25">
        <v>20</v>
      </c>
    </row>
    <row r="26" spans="1:5" x14ac:dyDescent="0.25">
      <c r="A26">
        <v>70</v>
      </c>
      <c r="B26">
        <v>70</v>
      </c>
      <c r="C26">
        <v>34097</v>
      </c>
      <c r="D26">
        <v>33.6</v>
      </c>
      <c r="E26">
        <v>20</v>
      </c>
    </row>
    <row r="27" spans="1:5" x14ac:dyDescent="0.25">
      <c r="A27">
        <v>76</v>
      </c>
      <c r="B27">
        <v>33</v>
      </c>
      <c r="C27">
        <v>46593</v>
      </c>
      <c r="D27">
        <v>37.9</v>
      </c>
      <c r="E27">
        <v>26</v>
      </c>
    </row>
    <row r="28" spans="1:5" x14ac:dyDescent="0.25">
      <c r="A28">
        <v>56</v>
      </c>
      <c r="B28">
        <v>12</v>
      </c>
      <c r="C28">
        <v>51893</v>
      </c>
      <c r="D28">
        <v>40.6</v>
      </c>
      <c r="E28">
        <v>21</v>
      </c>
    </row>
    <row r="29" spans="1:5" x14ac:dyDescent="0.25">
      <c r="A29">
        <v>65</v>
      </c>
      <c r="B29">
        <v>32</v>
      </c>
      <c r="C29">
        <v>88162</v>
      </c>
      <c r="D29">
        <v>37.700000000000003</v>
      </c>
      <c r="E29">
        <v>37</v>
      </c>
    </row>
    <row r="30" spans="1:5" x14ac:dyDescent="0.25">
      <c r="A30">
        <v>62</v>
      </c>
      <c r="B30">
        <v>0</v>
      </c>
      <c r="C30">
        <v>89016</v>
      </c>
      <c r="D30">
        <v>36.4</v>
      </c>
      <c r="E30">
        <v>34</v>
      </c>
    </row>
    <row r="31" spans="1:5" x14ac:dyDescent="0.25">
      <c r="A31">
        <v>66</v>
      </c>
      <c r="B31">
        <v>20</v>
      </c>
      <c r="C31">
        <v>114353</v>
      </c>
      <c r="D31">
        <v>40.9</v>
      </c>
      <c r="E31">
        <v>34</v>
      </c>
    </row>
    <row r="32" spans="1:5" x14ac:dyDescent="0.25">
      <c r="A32">
        <v>76</v>
      </c>
      <c r="B32">
        <v>24</v>
      </c>
      <c r="C32">
        <v>75366</v>
      </c>
      <c r="D32">
        <v>35</v>
      </c>
      <c r="E32">
        <v>30</v>
      </c>
    </row>
    <row r="33" spans="1:5" x14ac:dyDescent="0.25">
      <c r="A33">
        <v>92</v>
      </c>
      <c r="B33">
        <v>36</v>
      </c>
      <c r="C33">
        <v>48163</v>
      </c>
      <c r="D33">
        <v>26.4</v>
      </c>
      <c r="E33">
        <v>16</v>
      </c>
    </row>
    <row r="34" spans="1:5" x14ac:dyDescent="0.25">
      <c r="A34">
        <v>112</v>
      </c>
      <c r="B34">
        <v>34</v>
      </c>
      <c r="C34">
        <v>49956</v>
      </c>
      <c r="D34">
        <v>37.1</v>
      </c>
      <c r="E34">
        <v>28</v>
      </c>
    </row>
    <row r="35" spans="1:5" x14ac:dyDescent="0.25">
      <c r="A35">
        <v>66</v>
      </c>
      <c r="B35">
        <v>15</v>
      </c>
      <c r="C35">
        <v>45990</v>
      </c>
      <c r="D35">
        <v>30.3</v>
      </c>
      <c r="E35">
        <v>36</v>
      </c>
    </row>
    <row r="36" spans="1:5" x14ac:dyDescent="0.25">
      <c r="A36">
        <v>70</v>
      </c>
      <c r="B36">
        <v>28</v>
      </c>
      <c r="C36">
        <v>45723</v>
      </c>
      <c r="D36">
        <v>31.3</v>
      </c>
      <c r="E36">
        <v>18</v>
      </c>
    </row>
    <row r="37" spans="1:5" x14ac:dyDescent="0.25">
      <c r="A37">
        <v>60</v>
      </c>
      <c r="B37">
        <v>15</v>
      </c>
      <c r="C37">
        <v>43800</v>
      </c>
      <c r="D37">
        <v>29.6</v>
      </c>
      <c r="E37">
        <v>36</v>
      </c>
    </row>
    <row r="38" spans="1:5" x14ac:dyDescent="0.25">
      <c r="A38">
        <v>86</v>
      </c>
      <c r="B38">
        <v>10</v>
      </c>
      <c r="C38">
        <v>68711</v>
      </c>
      <c r="D38">
        <v>32.9</v>
      </c>
      <c r="E38">
        <v>18</v>
      </c>
    </row>
    <row r="39" spans="1:5" x14ac:dyDescent="0.25">
      <c r="A39">
        <v>76</v>
      </c>
      <c r="B39">
        <v>0</v>
      </c>
      <c r="C39">
        <v>65150</v>
      </c>
      <c r="D39">
        <v>40.700000000000003</v>
      </c>
      <c r="E39">
        <v>24</v>
      </c>
    </row>
    <row r="40" spans="1:5" x14ac:dyDescent="0.25">
      <c r="A40">
        <v>68</v>
      </c>
      <c r="B40">
        <v>16</v>
      </c>
      <c r="C40">
        <v>39329</v>
      </c>
      <c r="D40">
        <v>29.3</v>
      </c>
      <c r="E40">
        <v>22</v>
      </c>
    </row>
    <row r="41" spans="1:5" x14ac:dyDescent="0.25">
      <c r="A41">
        <v>64</v>
      </c>
      <c r="B41">
        <v>0</v>
      </c>
      <c r="C41">
        <v>63657</v>
      </c>
      <c r="D41">
        <v>37.299999999999997</v>
      </c>
      <c r="E41">
        <v>29</v>
      </c>
    </row>
    <row r="42" spans="1:5" x14ac:dyDescent="0.25">
      <c r="A42">
        <v>52</v>
      </c>
      <c r="B42">
        <v>36</v>
      </c>
      <c r="C42">
        <v>67099</v>
      </c>
      <c r="D42">
        <v>39.799999999999997</v>
      </c>
      <c r="E42">
        <v>25</v>
      </c>
    </row>
    <row r="43" spans="1:5" x14ac:dyDescent="0.25">
      <c r="A43">
        <v>78</v>
      </c>
      <c r="B43">
        <v>26</v>
      </c>
      <c r="C43">
        <v>75151</v>
      </c>
      <c r="D43">
        <v>33.9</v>
      </c>
      <c r="E43">
        <v>28</v>
      </c>
    </row>
    <row r="44" spans="1:5" x14ac:dyDescent="0.25">
      <c r="A44">
        <v>64</v>
      </c>
      <c r="B44">
        <v>28</v>
      </c>
      <c r="C44">
        <v>93876</v>
      </c>
      <c r="D44">
        <v>35</v>
      </c>
      <c r="E44">
        <v>40</v>
      </c>
    </row>
    <row r="45" spans="1:5" x14ac:dyDescent="0.25">
      <c r="A45">
        <v>82</v>
      </c>
      <c r="B45">
        <v>32</v>
      </c>
      <c r="C45">
        <v>79701</v>
      </c>
      <c r="D45">
        <v>35</v>
      </c>
      <c r="E45">
        <v>39</v>
      </c>
    </row>
    <row r="46" spans="1:5" x14ac:dyDescent="0.25">
      <c r="A46">
        <v>86</v>
      </c>
      <c r="B46">
        <v>30</v>
      </c>
      <c r="C46">
        <v>77115</v>
      </c>
      <c r="D46">
        <v>35.9</v>
      </c>
      <c r="E46">
        <v>30</v>
      </c>
    </row>
    <row r="47" spans="1:5" x14ac:dyDescent="0.25">
      <c r="A47">
        <v>92</v>
      </c>
      <c r="B47">
        <v>16</v>
      </c>
      <c r="C47">
        <v>52766</v>
      </c>
      <c r="D47">
        <v>33</v>
      </c>
      <c r="E47">
        <v>17</v>
      </c>
    </row>
    <row r="48" spans="1:5" x14ac:dyDescent="0.25">
      <c r="A48">
        <v>72</v>
      </c>
      <c r="B48">
        <v>10</v>
      </c>
      <c r="C48">
        <v>32929</v>
      </c>
      <c r="D48">
        <v>30.9</v>
      </c>
      <c r="E48">
        <v>22</v>
      </c>
    </row>
    <row r="49" spans="1:5" x14ac:dyDescent="0.25">
      <c r="A49">
        <v>90</v>
      </c>
      <c r="B49">
        <v>24</v>
      </c>
      <c r="C49">
        <v>87863</v>
      </c>
      <c r="D49">
        <v>38.5</v>
      </c>
      <c r="E49">
        <v>29</v>
      </c>
    </row>
    <row r="50" spans="1:5" x14ac:dyDescent="0.25">
      <c r="A50">
        <v>64</v>
      </c>
      <c r="B50">
        <v>20</v>
      </c>
      <c r="C50">
        <v>73752</v>
      </c>
      <c r="D50">
        <v>40.5</v>
      </c>
      <c r="E50">
        <v>19</v>
      </c>
    </row>
    <row r="51" spans="1:5" x14ac:dyDescent="0.25">
      <c r="A51">
        <v>80</v>
      </c>
      <c r="B51">
        <v>20</v>
      </c>
      <c r="C51">
        <v>85366</v>
      </c>
      <c r="D51">
        <v>32.1</v>
      </c>
      <c r="E51">
        <v>29</v>
      </c>
    </row>
    <row r="52" spans="1:5" x14ac:dyDescent="0.25">
      <c r="A52">
        <v>102</v>
      </c>
      <c r="B52">
        <v>30</v>
      </c>
      <c r="C52">
        <v>39180</v>
      </c>
      <c r="D52">
        <v>34.799999999999997</v>
      </c>
      <c r="E52">
        <v>18</v>
      </c>
    </row>
    <row r="53" spans="1:5" x14ac:dyDescent="0.25">
      <c r="A53">
        <v>70</v>
      </c>
      <c r="B53">
        <v>26</v>
      </c>
      <c r="C53">
        <v>56077</v>
      </c>
      <c r="D53">
        <v>38</v>
      </c>
      <c r="E53">
        <v>19</v>
      </c>
    </row>
    <row r="54" spans="1:5" x14ac:dyDescent="0.25">
      <c r="A54">
        <v>62</v>
      </c>
      <c r="B54">
        <v>26</v>
      </c>
      <c r="C54">
        <v>77449</v>
      </c>
      <c r="D54">
        <v>37</v>
      </c>
      <c r="E54">
        <v>34</v>
      </c>
    </row>
    <row r="55" spans="1:5" x14ac:dyDescent="0.25">
      <c r="A55">
        <v>68</v>
      </c>
      <c r="B55">
        <v>20</v>
      </c>
      <c r="C55">
        <v>56822</v>
      </c>
      <c r="D55">
        <v>34.700000000000003</v>
      </c>
      <c r="E55">
        <v>25</v>
      </c>
    </row>
    <row r="56" spans="1:5" x14ac:dyDescent="0.25">
      <c r="A56">
        <v>74</v>
      </c>
      <c r="B56">
        <v>24</v>
      </c>
      <c r="C56">
        <v>80470</v>
      </c>
      <c r="D56">
        <v>36.4</v>
      </c>
      <c r="E56">
        <v>30</v>
      </c>
    </row>
    <row r="57" spans="1:5" x14ac:dyDescent="0.25">
      <c r="A57">
        <v>84</v>
      </c>
      <c r="B57">
        <v>14</v>
      </c>
      <c r="C57">
        <v>55584</v>
      </c>
      <c r="D57">
        <v>36.799999999999997</v>
      </c>
      <c r="E57">
        <v>21</v>
      </c>
    </row>
    <row r="58" spans="1:5" x14ac:dyDescent="0.25">
      <c r="A58">
        <v>70</v>
      </c>
      <c r="B58">
        <v>32</v>
      </c>
      <c r="C58">
        <v>78001</v>
      </c>
      <c r="D58">
        <v>32.200000000000003</v>
      </c>
      <c r="E58">
        <v>30</v>
      </c>
    </row>
    <row r="59" spans="1:5" x14ac:dyDescent="0.25">
      <c r="A59">
        <v>96</v>
      </c>
      <c r="B59">
        <v>32</v>
      </c>
      <c r="C59">
        <v>75307</v>
      </c>
      <c r="D59">
        <v>34.799999999999997</v>
      </c>
      <c r="E59">
        <v>30</v>
      </c>
    </row>
    <row r="60" spans="1:5" x14ac:dyDescent="0.25">
      <c r="A60">
        <v>70</v>
      </c>
      <c r="B60">
        <v>22</v>
      </c>
      <c r="C60">
        <v>76375</v>
      </c>
      <c r="D60">
        <v>36.700000000000003</v>
      </c>
      <c r="E60">
        <v>28</v>
      </c>
    </row>
    <row r="61" spans="1:5" x14ac:dyDescent="0.25">
      <c r="A61">
        <v>76</v>
      </c>
      <c r="B61">
        <v>32</v>
      </c>
      <c r="C61">
        <v>61857</v>
      </c>
      <c r="D61">
        <v>33.799999999999997</v>
      </c>
      <c r="E61">
        <v>31</v>
      </c>
    </row>
    <row r="62" spans="1:5" x14ac:dyDescent="0.25">
      <c r="A62">
        <v>62</v>
      </c>
      <c r="B62">
        <v>28</v>
      </c>
      <c r="C62">
        <v>61312</v>
      </c>
      <c r="D62">
        <v>34.200000000000003</v>
      </c>
      <c r="E62">
        <v>16</v>
      </c>
    </row>
    <row r="63" spans="1:5" x14ac:dyDescent="0.25">
      <c r="A63">
        <v>92</v>
      </c>
      <c r="B63">
        <v>23</v>
      </c>
      <c r="C63">
        <v>72040</v>
      </c>
      <c r="D63">
        <v>39</v>
      </c>
      <c r="E63">
        <v>31</v>
      </c>
    </row>
    <row r="64" spans="1:5" x14ac:dyDescent="0.25">
      <c r="A64">
        <v>60</v>
      </c>
      <c r="B64">
        <v>20</v>
      </c>
      <c r="C64">
        <v>92414</v>
      </c>
      <c r="D64">
        <v>34.9</v>
      </c>
      <c r="E64">
        <v>40</v>
      </c>
    </row>
    <row r="65" spans="1:5" x14ac:dyDescent="0.25">
      <c r="A65">
        <v>54</v>
      </c>
      <c r="B65">
        <v>15</v>
      </c>
      <c r="C65">
        <v>92602</v>
      </c>
      <c r="D65">
        <v>39.299999999999997</v>
      </c>
      <c r="E65">
        <v>33</v>
      </c>
    </row>
    <row r="66" spans="1:5" x14ac:dyDescent="0.25">
      <c r="A66">
        <v>110</v>
      </c>
      <c r="B66">
        <v>23</v>
      </c>
      <c r="C66">
        <v>59599</v>
      </c>
      <c r="D66">
        <v>35.6</v>
      </c>
      <c r="E66">
        <v>28</v>
      </c>
    </row>
    <row r="67" spans="1:5" x14ac:dyDescent="0.25">
      <c r="A67">
        <v>78</v>
      </c>
      <c r="B67">
        <v>0</v>
      </c>
      <c r="C67">
        <v>72453</v>
      </c>
      <c r="D67">
        <v>36</v>
      </c>
      <c r="E67">
        <v>23</v>
      </c>
    </row>
    <row r="68" spans="1:5" x14ac:dyDescent="0.25">
      <c r="A68">
        <v>72</v>
      </c>
      <c r="B68">
        <v>31</v>
      </c>
      <c r="C68">
        <v>67925</v>
      </c>
      <c r="D68">
        <v>41.1</v>
      </c>
      <c r="E68">
        <v>16</v>
      </c>
    </row>
    <row r="69" spans="1:5" x14ac:dyDescent="0.25">
      <c r="A69">
        <v>74</v>
      </c>
      <c r="B69">
        <v>29</v>
      </c>
      <c r="C69">
        <v>42631</v>
      </c>
      <c r="D69">
        <v>24.7</v>
      </c>
      <c r="E69">
        <v>25</v>
      </c>
    </row>
    <row r="70" spans="1:5" x14ac:dyDescent="0.25">
      <c r="A70">
        <v>94</v>
      </c>
      <c r="B70">
        <v>0</v>
      </c>
      <c r="C70">
        <v>75652</v>
      </c>
      <c r="D70">
        <v>40.5</v>
      </c>
      <c r="E70">
        <v>25</v>
      </c>
    </row>
    <row r="71" spans="1:5" x14ac:dyDescent="0.25">
      <c r="A71">
        <v>80</v>
      </c>
      <c r="B71">
        <v>16</v>
      </c>
      <c r="C71">
        <v>39650</v>
      </c>
      <c r="D71">
        <v>32.9</v>
      </c>
      <c r="E71">
        <v>18</v>
      </c>
    </row>
    <row r="72" spans="1:5" x14ac:dyDescent="0.25">
      <c r="A72">
        <v>124</v>
      </c>
      <c r="B72">
        <v>0</v>
      </c>
      <c r="C72">
        <v>48033</v>
      </c>
      <c r="D72">
        <v>30.3</v>
      </c>
      <c r="E72">
        <v>15</v>
      </c>
    </row>
    <row r="73" spans="1:5" x14ac:dyDescent="0.25">
      <c r="A73">
        <v>46</v>
      </c>
      <c r="B73">
        <v>20</v>
      </c>
      <c r="C73">
        <v>67403</v>
      </c>
      <c r="D73">
        <v>36.200000000000003</v>
      </c>
      <c r="E73">
        <v>19</v>
      </c>
    </row>
    <row r="74" spans="1:5" x14ac:dyDescent="0.25">
      <c r="A74">
        <v>66</v>
      </c>
      <c r="B74">
        <v>0</v>
      </c>
      <c r="C74">
        <v>80597</v>
      </c>
      <c r="D74">
        <v>32.4</v>
      </c>
      <c r="E74">
        <v>27</v>
      </c>
    </row>
    <row r="75" spans="1:5" x14ac:dyDescent="0.25">
      <c r="A75">
        <v>63</v>
      </c>
      <c r="B75">
        <v>28</v>
      </c>
      <c r="C75">
        <v>60928</v>
      </c>
      <c r="D75">
        <v>43.5</v>
      </c>
      <c r="E75">
        <v>21</v>
      </c>
    </row>
    <row r="76" spans="1:5" x14ac:dyDescent="0.25">
      <c r="A76">
        <v>72</v>
      </c>
      <c r="B76">
        <v>15</v>
      </c>
      <c r="C76">
        <v>73762</v>
      </c>
      <c r="D76">
        <v>41.6</v>
      </c>
      <c r="E76">
        <v>29</v>
      </c>
    </row>
    <row r="77" spans="1:5" x14ac:dyDescent="0.25">
      <c r="A77">
        <v>76</v>
      </c>
      <c r="B77">
        <v>24</v>
      </c>
      <c r="C77">
        <v>64225</v>
      </c>
      <c r="D77">
        <v>31.4</v>
      </c>
      <c r="E77">
        <v>15</v>
      </c>
    </row>
    <row r="79" spans="1:5" x14ac:dyDescent="0.25">
      <c r="A79" t="s">
        <v>2</v>
      </c>
    </row>
    <row r="80" spans="1:5" x14ac:dyDescent="0.25">
      <c r="A80">
        <v>-259.9497306438754</v>
      </c>
      <c r="B80">
        <v>-2.3669115356672386</v>
      </c>
    </row>
    <row r="81" spans="1:2" x14ac:dyDescent="0.25">
      <c r="A81">
        <v>-188.59001447667293</v>
      </c>
      <c r="B81">
        <v>-2.0061237235350715</v>
      </c>
    </row>
    <row r="82" spans="1:2" x14ac:dyDescent="0.25">
      <c r="A82">
        <v>-178.18631097409914</v>
      </c>
      <c r="B82">
        <v>-1.8007082352059736</v>
      </c>
    </row>
    <row r="83" spans="1:2" x14ac:dyDescent="0.25">
      <c r="A83">
        <v>-165.28886892108994</v>
      </c>
      <c r="B83">
        <v>-1.6514108613471326</v>
      </c>
    </row>
    <row r="84" spans="1:2" x14ac:dyDescent="0.25">
      <c r="A84">
        <v>-156.29303867814616</v>
      </c>
      <c r="B84">
        <v>-1.5318456091169121</v>
      </c>
    </row>
    <row r="85" spans="1:2" x14ac:dyDescent="0.25">
      <c r="A85">
        <v>-147.19953340426082</v>
      </c>
      <c r="B85">
        <v>-1.4308738678840611</v>
      </c>
    </row>
    <row r="86" spans="1:2" x14ac:dyDescent="0.25">
      <c r="A86">
        <v>-145.02041517590862</v>
      </c>
      <c r="B86">
        <v>-1.3426905457098073</v>
      </c>
    </row>
    <row r="87" spans="1:2" x14ac:dyDescent="0.25">
      <c r="A87">
        <v>-132.79622707748581</v>
      </c>
      <c r="B87">
        <v>-1.2638662790854323</v>
      </c>
    </row>
    <row r="88" spans="1:2" x14ac:dyDescent="0.25">
      <c r="A88">
        <v>-132.58387650311681</v>
      </c>
      <c r="B88">
        <v>-1.1921973902333569</v>
      </c>
    </row>
    <row r="89" spans="1:2" x14ac:dyDescent="0.25">
      <c r="A89">
        <v>-127.86575750152417</v>
      </c>
      <c r="B89">
        <v>-1.1261791756777488</v>
      </c>
    </row>
    <row r="90" spans="1:2" x14ac:dyDescent="0.25">
      <c r="A90">
        <v>-124.49165008442088</v>
      </c>
      <c r="B90">
        <v>-1.0647357756769957</v>
      </c>
    </row>
    <row r="91" spans="1:2" x14ac:dyDescent="0.25">
      <c r="A91">
        <v>-123.01638449295081</v>
      </c>
      <c r="B91">
        <v>-1.007069565696844</v>
      </c>
    </row>
    <row r="92" spans="1:2" x14ac:dyDescent="0.25">
      <c r="A92">
        <v>-118.43130685295759</v>
      </c>
      <c r="B92">
        <v>-0.95257159496302291</v>
      </c>
    </row>
    <row r="93" spans="1:2" x14ac:dyDescent="0.25">
      <c r="A93">
        <v>-110.84406523151279</v>
      </c>
      <c r="B93">
        <v>-0.900765518860694</v>
      </c>
    </row>
    <row r="94" spans="1:2" x14ac:dyDescent="0.25">
      <c r="A94">
        <v>-110.14775516515914</v>
      </c>
      <c r="B94">
        <v>-0.85127099341835111</v>
      </c>
    </row>
    <row r="95" spans="1:2" x14ac:dyDescent="0.25">
      <c r="A95">
        <v>-109.34302779136598</v>
      </c>
      <c r="B95">
        <v>-0.80377892422808705</v>
      </c>
    </row>
    <row r="96" spans="1:2" x14ac:dyDescent="0.25">
      <c r="A96">
        <v>-105.10972631445526</v>
      </c>
      <c r="B96">
        <v>-0.75803422638737739</v>
      </c>
    </row>
    <row r="97" spans="1:2" x14ac:dyDescent="0.25">
      <c r="A97">
        <v>-104.76168920771437</v>
      </c>
      <c r="B97">
        <v>-0.71382350560787522</v>
      </c>
    </row>
    <row r="98" spans="1:2" x14ac:dyDescent="0.25">
      <c r="A98">
        <v>-100.1917272771777</v>
      </c>
      <c r="B98">
        <v>-0.67096605792932884</v>
      </c>
    </row>
    <row r="99" spans="1:2" x14ac:dyDescent="0.25">
      <c r="A99">
        <v>-96.94553992837433</v>
      </c>
      <c r="B99">
        <v>-0.62930716412636234</v>
      </c>
    </row>
    <row r="100" spans="1:2" x14ac:dyDescent="0.25">
      <c r="A100">
        <v>-78.522240753183667</v>
      </c>
      <c r="B100">
        <v>-0.58871300604753007</v>
      </c>
    </row>
    <row r="101" spans="1:2" x14ac:dyDescent="0.25">
      <c r="A101">
        <v>-66.833182556014549</v>
      </c>
      <c r="B101">
        <v>-0.54906675180769393</v>
      </c>
    </row>
    <row r="102" spans="1:2" x14ac:dyDescent="0.25">
      <c r="A102">
        <v>-63.936796215120808</v>
      </c>
      <c r="B102">
        <v>-0.51026549793017306</v>
      </c>
    </row>
    <row r="103" spans="1:2" x14ac:dyDescent="0.25">
      <c r="A103">
        <v>-54.966669760617265</v>
      </c>
      <c r="B103">
        <v>-0.47221784945203604</v>
      </c>
    </row>
    <row r="104" spans="1:2" x14ac:dyDescent="0.25">
      <c r="A104">
        <v>-49.508934138266227</v>
      </c>
      <c r="B104">
        <v>-0.43484198148043174</v>
      </c>
    </row>
    <row r="105" spans="1:2" x14ac:dyDescent="0.25">
      <c r="A105">
        <v>-43.817663256975038</v>
      </c>
      <c r="B105">
        <v>-0.39806406850726872</v>
      </c>
    </row>
    <row r="106" spans="1:2" x14ac:dyDescent="0.25">
      <c r="A106">
        <v>-30.562241430859501</v>
      </c>
      <c r="B106">
        <v>-0.36181699764906894</v>
      </c>
    </row>
    <row r="107" spans="1:2" x14ac:dyDescent="0.25">
      <c r="A107">
        <v>-29.70568021844656</v>
      </c>
      <c r="B107">
        <v>-0.32603930312779328</v>
      </c>
    </row>
    <row r="108" spans="1:2" x14ac:dyDescent="0.25">
      <c r="A108">
        <v>-28.821116025843139</v>
      </c>
      <c r="B108">
        <v>-0.29067427449912897</v>
      </c>
    </row>
    <row r="109" spans="1:2" x14ac:dyDescent="0.25">
      <c r="A109">
        <v>-21.382919046942618</v>
      </c>
      <c r="B109">
        <v>-0.25566920218287226</v>
      </c>
    </row>
    <row r="110" spans="1:2" x14ac:dyDescent="0.25">
      <c r="A110">
        <v>-20.809630247130656</v>
      </c>
      <c r="B110">
        <v>-0.22097473197364204</v>
      </c>
    </row>
    <row r="111" spans="1:2" x14ac:dyDescent="0.25">
      <c r="A111">
        <v>-18.033685890819072</v>
      </c>
      <c r="B111">
        <v>-0.18654430623872015</v>
      </c>
    </row>
    <row r="112" spans="1:2" x14ac:dyDescent="0.25">
      <c r="A112">
        <v>-16.473229427411866</v>
      </c>
      <c r="B112">
        <v>-0.15233367401592207</v>
      </c>
    </row>
    <row r="113" spans="1:2" x14ac:dyDescent="0.25">
      <c r="A113">
        <v>-15.5268611118384</v>
      </c>
      <c r="B113">
        <v>-0.11830045560782071</v>
      </c>
    </row>
    <row r="114" spans="1:2" x14ac:dyDescent="0.25">
      <c r="A114">
        <v>-12.583202480795933</v>
      </c>
      <c r="B114">
        <v>-8.4403749811161166E-2</v>
      </c>
    </row>
    <row r="115" spans="1:2" x14ac:dyDescent="0.25">
      <c r="A115">
        <v>-11.599189948491471</v>
      </c>
      <c r="B115">
        <v>-5.0603773821742956E-2</v>
      </c>
    </row>
    <row r="116" spans="1:2" x14ac:dyDescent="0.25">
      <c r="A116">
        <v>-10.641619741945703</v>
      </c>
      <c r="B116">
        <v>-1.6861527257184476E-2</v>
      </c>
    </row>
    <row r="117" spans="1:2" x14ac:dyDescent="0.25">
      <c r="A117">
        <v>-6.4663288735301307</v>
      </c>
      <c r="B117">
        <v>1.6861527257184199E-2</v>
      </c>
    </row>
    <row r="118" spans="1:2" x14ac:dyDescent="0.25">
      <c r="A118">
        <v>6.6082090725618059</v>
      </c>
      <c r="B118">
        <v>5.0603773821742665E-2</v>
      </c>
    </row>
    <row r="119" spans="1:2" x14ac:dyDescent="0.25">
      <c r="A119">
        <v>10.102638902655599</v>
      </c>
      <c r="B119">
        <v>8.4403749811160889E-2</v>
      </c>
    </row>
    <row r="120" spans="1:2" x14ac:dyDescent="0.25">
      <c r="A120">
        <v>10.155669158168564</v>
      </c>
      <c r="B120">
        <v>0.11830045560782043</v>
      </c>
    </row>
    <row r="121" spans="1:2" x14ac:dyDescent="0.25">
      <c r="A121">
        <v>11.542432410291326</v>
      </c>
      <c r="B121">
        <v>0.15233367401592179</v>
      </c>
    </row>
    <row r="122" spans="1:2" x14ac:dyDescent="0.25">
      <c r="A122">
        <v>13.479255723311155</v>
      </c>
      <c r="B122">
        <v>0.18654430623871987</v>
      </c>
    </row>
    <row r="123" spans="1:2" x14ac:dyDescent="0.25">
      <c r="A123">
        <v>15.021396684328749</v>
      </c>
      <c r="B123">
        <v>0.22097473197364204</v>
      </c>
    </row>
    <row r="124" spans="1:2" x14ac:dyDescent="0.25">
      <c r="A124">
        <v>18.966379811640309</v>
      </c>
      <c r="B124">
        <v>0.25566920218287192</v>
      </c>
    </row>
    <row r="125" spans="1:2" x14ac:dyDescent="0.25">
      <c r="A125">
        <v>19.212202527873956</v>
      </c>
      <c r="B125">
        <v>0.29067427449912864</v>
      </c>
    </row>
    <row r="126" spans="1:2" x14ac:dyDescent="0.25">
      <c r="A126">
        <v>19.593828773788857</v>
      </c>
      <c r="B126">
        <v>0.32603930312779328</v>
      </c>
    </row>
    <row r="127" spans="1:2" x14ac:dyDescent="0.25">
      <c r="A127">
        <v>19.741984430387959</v>
      </c>
      <c r="B127">
        <v>0.36181699764906872</v>
      </c>
    </row>
    <row r="128" spans="1:2" x14ac:dyDescent="0.25">
      <c r="A128">
        <v>23.747078135429433</v>
      </c>
      <c r="B128">
        <v>0.3980640685072685</v>
      </c>
    </row>
    <row r="129" spans="1:2" x14ac:dyDescent="0.25">
      <c r="A129">
        <v>25.17362173870049</v>
      </c>
      <c r="B129">
        <v>0.43484198148043174</v>
      </c>
    </row>
    <row r="130" spans="1:2" x14ac:dyDescent="0.25">
      <c r="A130">
        <v>28.919438687171692</v>
      </c>
      <c r="B130">
        <v>0.4722178494520356</v>
      </c>
    </row>
    <row r="131" spans="1:2" x14ac:dyDescent="0.25">
      <c r="A131">
        <v>38.469756450399473</v>
      </c>
      <c r="B131">
        <v>0.51026549793017262</v>
      </c>
    </row>
    <row r="132" spans="1:2" x14ac:dyDescent="0.25">
      <c r="A132">
        <v>50.983178841704841</v>
      </c>
      <c r="B132">
        <v>0.54906675180769393</v>
      </c>
    </row>
    <row r="133" spans="1:2" x14ac:dyDescent="0.25">
      <c r="A133">
        <v>53.035706828263926</v>
      </c>
      <c r="B133">
        <v>0.58871300604752985</v>
      </c>
    </row>
    <row r="134" spans="1:2" x14ac:dyDescent="0.25">
      <c r="A134">
        <v>61.102903905991866</v>
      </c>
      <c r="B134">
        <v>0.62930716412636212</v>
      </c>
    </row>
    <row r="135" spans="1:2" x14ac:dyDescent="0.25">
      <c r="A135">
        <v>63.120495354779507</v>
      </c>
      <c r="B135">
        <v>0.67096605792932884</v>
      </c>
    </row>
    <row r="136" spans="1:2" x14ac:dyDescent="0.25">
      <c r="A136">
        <v>63.838015371795052</v>
      </c>
      <c r="B136">
        <v>0.71382350560787478</v>
      </c>
    </row>
    <row r="137" spans="1:2" x14ac:dyDescent="0.25">
      <c r="A137">
        <v>71.083353972822806</v>
      </c>
      <c r="B137">
        <v>0.75803422638737739</v>
      </c>
    </row>
    <row r="138" spans="1:2" x14ac:dyDescent="0.25">
      <c r="A138">
        <v>71.328164837458417</v>
      </c>
      <c r="B138">
        <v>0.80377892422808683</v>
      </c>
    </row>
    <row r="139" spans="1:2" x14ac:dyDescent="0.25">
      <c r="A139">
        <v>75.182885892887043</v>
      </c>
      <c r="B139">
        <v>0.85127099341835066</v>
      </c>
    </row>
    <row r="140" spans="1:2" x14ac:dyDescent="0.25">
      <c r="A140">
        <v>75.280252546907718</v>
      </c>
      <c r="B140">
        <v>0.900765518860694</v>
      </c>
    </row>
    <row r="141" spans="1:2" x14ac:dyDescent="0.25">
      <c r="A141">
        <v>81.320655435702633</v>
      </c>
      <c r="B141">
        <v>0.95257159496302224</v>
      </c>
    </row>
    <row r="142" spans="1:2" x14ac:dyDescent="0.25">
      <c r="A142">
        <v>81.635102553611659</v>
      </c>
      <c r="B142">
        <v>1.0070695656968436</v>
      </c>
    </row>
    <row r="143" spans="1:2" x14ac:dyDescent="0.25">
      <c r="A143">
        <v>105.5764644419562</v>
      </c>
      <c r="B143">
        <v>1.0647357756769957</v>
      </c>
    </row>
    <row r="144" spans="1:2" x14ac:dyDescent="0.25">
      <c r="A144">
        <v>115.02538442929404</v>
      </c>
      <c r="B144">
        <v>1.1261791756777484</v>
      </c>
    </row>
    <row r="145" spans="1:5" x14ac:dyDescent="0.25">
      <c r="A145">
        <v>122.22338041684225</v>
      </c>
      <c r="B145">
        <v>1.1921973902333565</v>
      </c>
    </row>
    <row r="146" spans="1:5" x14ac:dyDescent="0.25">
      <c r="A146">
        <v>150.11784901058002</v>
      </c>
      <c r="B146">
        <v>1.2638662790854323</v>
      </c>
    </row>
    <row r="147" spans="1:5" x14ac:dyDescent="0.25">
      <c r="A147">
        <v>180.39342851669358</v>
      </c>
      <c r="B147">
        <v>1.3426905457098064</v>
      </c>
    </row>
    <row r="148" spans="1:5" x14ac:dyDescent="0.25">
      <c r="A148">
        <v>196.26713758450819</v>
      </c>
      <c r="B148">
        <v>1.4308738678840602</v>
      </c>
    </row>
    <row r="149" spans="1:5" x14ac:dyDescent="0.25">
      <c r="A149">
        <v>205.79931400074997</v>
      </c>
      <c r="B149">
        <v>1.5318456091169121</v>
      </c>
    </row>
    <row r="150" spans="1:5" x14ac:dyDescent="0.25">
      <c r="A150">
        <v>234.85633376172507</v>
      </c>
      <c r="B150">
        <v>1.6514108613471321</v>
      </c>
    </row>
    <row r="151" spans="1:5" x14ac:dyDescent="0.25">
      <c r="A151">
        <v>289.73389309919276</v>
      </c>
      <c r="B151">
        <v>1.8007082352059736</v>
      </c>
    </row>
    <row r="152" spans="1:5" x14ac:dyDescent="0.25">
      <c r="A152">
        <v>336.09044955563638</v>
      </c>
      <c r="B152">
        <v>2.0061237235350715</v>
      </c>
    </row>
    <row r="153" spans="1:5" x14ac:dyDescent="0.25">
      <c r="A153">
        <v>372.51959396068435</v>
      </c>
      <c r="B153">
        <v>2.3669115356672332</v>
      </c>
    </row>
    <row r="155" spans="1:5" x14ac:dyDescent="0.25">
      <c r="A155" t="s">
        <v>3</v>
      </c>
    </row>
    <row r="156" spans="1:5" x14ac:dyDescent="0.25">
      <c r="A156">
        <v>66</v>
      </c>
      <c r="B156">
        <v>18</v>
      </c>
      <c r="C156">
        <v>45177</v>
      </c>
      <c r="D156">
        <v>34.4</v>
      </c>
      <c r="E156">
        <v>31</v>
      </c>
    </row>
    <row r="157" spans="1:5" x14ac:dyDescent="0.25">
      <c r="A157">
        <v>69</v>
      </c>
      <c r="B157">
        <v>16</v>
      </c>
      <c r="C157">
        <v>51888</v>
      </c>
      <c r="D157">
        <v>41.2</v>
      </c>
      <c r="E157">
        <v>20</v>
      </c>
    </row>
    <row r="158" spans="1:5" x14ac:dyDescent="0.25">
      <c r="A158">
        <v>67</v>
      </c>
      <c r="B158">
        <v>10</v>
      </c>
      <c r="C158">
        <v>51379</v>
      </c>
      <c r="D158">
        <v>40.299999999999997</v>
      </c>
      <c r="E158">
        <v>24</v>
      </c>
    </row>
    <row r="159" spans="1:5" x14ac:dyDescent="0.25">
      <c r="A159">
        <v>70</v>
      </c>
      <c r="B159">
        <v>4</v>
      </c>
      <c r="C159">
        <v>66081</v>
      </c>
      <c r="D159">
        <v>35.4</v>
      </c>
      <c r="E159">
        <v>29</v>
      </c>
    </row>
    <row r="160" spans="1:5" x14ac:dyDescent="0.25">
      <c r="A160">
        <v>78</v>
      </c>
      <c r="B160">
        <v>0</v>
      </c>
      <c r="C160">
        <v>50999</v>
      </c>
      <c r="D160">
        <v>31.5</v>
      </c>
      <c r="E160">
        <v>18</v>
      </c>
    </row>
    <row r="161" spans="1:5" x14ac:dyDescent="0.25">
      <c r="A161">
        <v>62</v>
      </c>
      <c r="B161">
        <v>28</v>
      </c>
      <c r="C161">
        <v>41562</v>
      </c>
      <c r="D161">
        <v>36.299999999999997</v>
      </c>
      <c r="E161">
        <v>30</v>
      </c>
    </row>
    <row r="162" spans="1:5" x14ac:dyDescent="0.25">
      <c r="A162">
        <v>70</v>
      </c>
      <c r="B162">
        <v>28</v>
      </c>
      <c r="C162">
        <v>44196</v>
      </c>
      <c r="D162">
        <v>35.1</v>
      </c>
      <c r="E162">
        <v>14</v>
      </c>
    </row>
    <row r="163" spans="1:5" x14ac:dyDescent="0.25">
      <c r="A163">
        <v>84</v>
      </c>
      <c r="B163">
        <v>29</v>
      </c>
      <c r="C163">
        <v>50975</v>
      </c>
      <c r="D163">
        <v>37.6</v>
      </c>
      <c r="E163">
        <v>33</v>
      </c>
    </row>
    <row r="164" spans="1:5" x14ac:dyDescent="0.25">
      <c r="A164">
        <v>68</v>
      </c>
      <c r="B164">
        <v>22</v>
      </c>
      <c r="C164">
        <v>72808</v>
      </c>
      <c r="D164">
        <v>34.9</v>
      </c>
      <c r="E164">
        <v>28</v>
      </c>
    </row>
    <row r="165" spans="1:5" x14ac:dyDescent="0.25">
      <c r="A165">
        <v>60</v>
      </c>
      <c r="B165">
        <v>42</v>
      </c>
      <c r="C165">
        <v>79070</v>
      </c>
      <c r="D165">
        <v>34.799999999999997</v>
      </c>
      <c r="E165">
        <v>29</v>
      </c>
    </row>
    <row r="166" spans="1:5" x14ac:dyDescent="0.25">
      <c r="A166">
        <v>80</v>
      </c>
      <c r="B166">
        <v>36</v>
      </c>
      <c r="C166">
        <v>78497</v>
      </c>
      <c r="D166">
        <v>36.200000000000003</v>
      </c>
      <c r="E166">
        <v>39</v>
      </c>
    </row>
    <row r="167" spans="1:5" x14ac:dyDescent="0.25">
      <c r="A167">
        <v>64</v>
      </c>
      <c r="B167">
        <v>32</v>
      </c>
      <c r="C167">
        <v>41245</v>
      </c>
      <c r="D167">
        <v>32.200000000000003</v>
      </c>
      <c r="E167">
        <v>23</v>
      </c>
    </row>
    <row r="168" spans="1:5" x14ac:dyDescent="0.25">
      <c r="A168">
        <v>80</v>
      </c>
      <c r="B168">
        <v>22</v>
      </c>
      <c r="C168">
        <v>33003</v>
      </c>
      <c r="D168">
        <v>30.9</v>
      </c>
      <c r="E168">
        <v>22</v>
      </c>
    </row>
    <row r="169" spans="1:5" x14ac:dyDescent="0.25">
      <c r="A169">
        <v>88</v>
      </c>
      <c r="B169">
        <v>78</v>
      </c>
      <c r="C169">
        <v>90988</v>
      </c>
      <c r="D169">
        <v>37.700000000000003</v>
      </c>
      <c r="E169">
        <v>37</v>
      </c>
    </row>
    <row r="170" spans="1:5" x14ac:dyDescent="0.25">
      <c r="A170">
        <v>42</v>
      </c>
      <c r="B170">
        <v>35</v>
      </c>
      <c r="C170">
        <v>37950</v>
      </c>
      <c r="D170">
        <v>34.299999999999997</v>
      </c>
      <c r="E170">
        <v>24</v>
      </c>
    </row>
    <row r="171" spans="1:5" x14ac:dyDescent="0.25">
      <c r="A171">
        <v>68</v>
      </c>
      <c r="B171">
        <v>32</v>
      </c>
      <c r="C171">
        <v>45206</v>
      </c>
      <c r="D171">
        <v>32.4</v>
      </c>
      <c r="E171">
        <v>17</v>
      </c>
    </row>
    <row r="172" spans="1:5" x14ac:dyDescent="0.25">
      <c r="A172">
        <v>80</v>
      </c>
      <c r="B172">
        <v>48</v>
      </c>
      <c r="C172">
        <v>79312</v>
      </c>
      <c r="D172">
        <v>32.1</v>
      </c>
      <c r="E172">
        <v>37</v>
      </c>
    </row>
    <row r="173" spans="1:5" x14ac:dyDescent="0.25">
      <c r="A173">
        <v>84</v>
      </c>
      <c r="B173">
        <v>32</v>
      </c>
      <c r="C173">
        <v>37345</v>
      </c>
      <c r="D173">
        <v>31.4</v>
      </c>
      <c r="E173">
        <v>22</v>
      </c>
    </row>
    <row r="174" spans="1:5" x14ac:dyDescent="0.25">
      <c r="A174">
        <v>35</v>
      </c>
      <c r="B174">
        <v>27</v>
      </c>
      <c r="C174">
        <v>46226</v>
      </c>
      <c r="D174">
        <v>30.4</v>
      </c>
      <c r="E174">
        <v>36</v>
      </c>
    </row>
    <row r="175" spans="1:5" x14ac:dyDescent="0.25">
      <c r="A175">
        <v>84</v>
      </c>
      <c r="B175">
        <v>24</v>
      </c>
      <c r="C175">
        <v>70024</v>
      </c>
      <c r="D175">
        <v>33.9</v>
      </c>
      <c r="E175">
        <v>34</v>
      </c>
    </row>
    <row r="176" spans="1:5" x14ac:dyDescent="0.25">
      <c r="A176">
        <v>78</v>
      </c>
      <c r="B176">
        <v>16</v>
      </c>
      <c r="C176">
        <v>54982</v>
      </c>
      <c r="D176">
        <v>35.6</v>
      </c>
      <c r="E176">
        <v>26</v>
      </c>
    </row>
    <row r="177" spans="1:5" x14ac:dyDescent="0.25">
      <c r="A177">
        <v>80</v>
      </c>
      <c r="B177">
        <v>39</v>
      </c>
      <c r="C177">
        <v>54932</v>
      </c>
      <c r="D177">
        <v>35.9</v>
      </c>
      <c r="E177">
        <v>20</v>
      </c>
    </row>
    <row r="178" spans="1:5" x14ac:dyDescent="0.25">
      <c r="A178">
        <v>70</v>
      </c>
      <c r="B178">
        <v>70</v>
      </c>
      <c r="C178">
        <v>34097</v>
      </c>
      <c r="D178">
        <v>33.6</v>
      </c>
      <c r="E178">
        <v>20</v>
      </c>
    </row>
    <row r="179" spans="1:5" x14ac:dyDescent="0.25">
      <c r="A179">
        <v>76</v>
      </c>
      <c r="B179">
        <v>33</v>
      </c>
      <c r="C179">
        <v>46593</v>
      </c>
      <c r="D179">
        <v>37.9</v>
      </c>
      <c r="E179">
        <v>26</v>
      </c>
    </row>
    <row r="180" spans="1:5" x14ac:dyDescent="0.25">
      <c r="A180">
        <v>56</v>
      </c>
      <c r="B180">
        <v>12</v>
      </c>
      <c r="C180">
        <v>51893</v>
      </c>
      <c r="D180">
        <v>40.6</v>
      </c>
      <c r="E180">
        <v>21</v>
      </c>
    </row>
    <row r="181" spans="1:5" x14ac:dyDescent="0.25">
      <c r="A181">
        <v>65</v>
      </c>
      <c r="B181">
        <v>32</v>
      </c>
      <c r="C181">
        <v>88162</v>
      </c>
      <c r="D181">
        <v>37.700000000000003</v>
      </c>
      <c r="E181">
        <v>37</v>
      </c>
    </row>
    <row r="182" spans="1:5" x14ac:dyDescent="0.25">
      <c r="A182">
        <v>62</v>
      </c>
      <c r="B182">
        <v>0</v>
      </c>
      <c r="C182">
        <v>89016</v>
      </c>
      <c r="D182">
        <v>36.4</v>
      </c>
      <c r="E182">
        <v>34</v>
      </c>
    </row>
    <row r="183" spans="1:5" x14ac:dyDescent="0.25">
      <c r="A183">
        <v>66</v>
      </c>
      <c r="B183">
        <v>20</v>
      </c>
      <c r="C183">
        <v>114353</v>
      </c>
      <c r="D183">
        <v>40.9</v>
      </c>
      <c r="E183">
        <v>34</v>
      </c>
    </row>
    <row r="184" spans="1:5" x14ac:dyDescent="0.25">
      <c r="A184">
        <v>76</v>
      </c>
      <c r="B184">
        <v>24</v>
      </c>
      <c r="C184">
        <v>75366</v>
      </c>
      <c r="D184">
        <v>35</v>
      </c>
      <c r="E184">
        <v>30</v>
      </c>
    </row>
    <row r="185" spans="1:5" x14ac:dyDescent="0.25">
      <c r="A185">
        <v>92</v>
      </c>
      <c r="B185">
        <v>36</v>
      </c>
      <c r="C185">
        <v>48163</v>
      </c>
      <c r="D185">
        <v>26.4</v>
      </c>
      <c r="E185">
        <v>16</v>
      </c>
    </row>
    <row r="186" spans="1:5" x14ac:dyDescent="0.25">
      <c r="A186">
        <v>112</v>
      </c>
      <c r="B186">
        <v>34</v>
      </c>
      <c r="C186">
        <v>49956</v>
      </c>
      <c r="D186">
        <v>37.1</v>
      </c>
      <c r="E186">
        <v>28</v>
      </c>
    </row>
    <row r="187" spans="1:5" x14ac:dyDescent="0.25">
      <c r="A187">
        <v>66</v>
      </c>
      <c r="B187">
        <v>15</v>
      </c>
      <c r="C187">
        <v>45990</v>
      </c>
      <c r="D187">
        <v>30.3</v>
      </c>
      <c r="E187">
        <v>36</v>
      </c>
    </row>
    <row r="188" spans="1:5" x14ac:dyDescent="0.25">
      <c r="A188">
        <v>70</v>
      </c>
      <c r="B188">
        <v>28</v>
      </c>
      <c r="C188">
        <v>45723</v>
      </c>
      <c r="D188">
        <v>31.3</v>
      </c>
      <c r="E188">
        <v>18</v>
      </c>
    </row>
    <row r="189" spans="1:5" x14ac:dyDescent="0.25">
      <c r="A189">
        <v>60</v>
      </c>
      <c r="B189">
        <v>15</v>
      </c>
      <c r="C189">
        <v>43800</v>
      </c>
      <c r="D189">
        <v>29.6</v>
      </c>
      <c r="E189">
        <v>36</v>
      </c>
    </row>
    <row r="190" spans="1:5" x14ac:dyDescent="0.25">
      <c r="A190">
        <v>86</v>
      </c>
      <c r="B190">
        <v>10</v>
      </c>
      <c r="C190">
        <v>68711</v>
      </c>
      <c r="D190">
        <v>32.9</v>
      </c>
      <c r="E190">
        <v>18</v>
      </c>
    </row>
    <row r="191" spans="1:5" x14ac:dyDescent="0.25">
      <c r="A191">
        <v>76</v>
      </c>
      <c r="B191">
        <v>0</v>
      </c>
      <c r="C191">
        <v>65150</v>
      </c>
      <c r="D191">
        <v>40.700000000000003</v>
      </c>
      <c r="E191">
        <v>24</v>
      </c>
    </row>
    <row r="192" spans="1:5" x14ac:dyDescent="0.25">
      <c r="A192">
        <v>68</v>
      </c>
      <c r="B192">
        <v>16</v>
      </c>
      <c r="C192">
        <v>39329</v>
      </c>
      <c r="D192">
        <v>29.3</v>
      </c>
      <c r="E192">
        <v>22</v>
      </c>
    </row>
    <row r="193" spans="1:5" x14ac:dyDescent="0.25">
      <c r="A193">
        <v>64</v>
      </c>
      <c r="B193">
        <v>0</v>
      </c>
      <c r="C193">
        <v>63657</v>
      </c>
      <c r="D193">
        <v>37.299999999999997</v>
      </c>
      <c r="E193">
        <v>29</v>
      </c>
    </row>
    <row r="194" spans="1:5" x14ac:dyDescent="0.25">
      <c r="A194">
        <v>52</v>
      </c>
      <c r="B194">
        <v>36</v>
      </c>
      <c r="C194">
        <v>67099</v>
      </c>
      <c r="D194">
        <v>39.799999999999997</v>
      </c>
      <c r="E194">
        <v>25</v>
      </c>
    </row>
    <row r="195" spans="1:5" x14ac:dyDescent="0.25">
      <c r="A195">
        <v>78</v>
      </c>
      <c r="B195">
        <v>26</v>
      </c>
      <c r="C195">
        <v>75151</v>
      </c>
      <c r="D195">
        <v>33.9</v>
      </c>
      <c r="E195">
        <v>28</v>
      </c>
    </row>
    <row r="196" spans="1:5" x14ac:dyDescent="0.25">
      <c r="A196">
        <v>64</v>
      </c>
      <c r="B196">
        <v>28</v>
      </c>
      <c r="C196">
        <v>93876</v>
      </c>
      <c r="D196">
        <v>35</v>
      </c>
      <c r="E196">
        <v>40</v>
      </c>
    </row>
    <row r="197" spans="1:5" x14ac:dyDescent="0.25">
      <c r="A197">
        <v>82</v>
      </c>
      <c r="B197">
        <v>32</v>
      </c>
      <c r="C197">
        <v>79701</v>
      </c>
      <c r="D197">
        <v>35</v>
      </c>
      <c r="E197">
        <v>39</v>
      </c>
    </row>
    <row r="198" spans="1:5" x14ac:dyDescent="0.25">
      <c r="A198">
        <v>86</v>
      </c>
      <c r="B198">
        <v>30</v>
      </c>
      <c r="C198">
        <v>77115</v>
      </c>
      <c r="D198">
        <v>35.9</v>
      </c>
      <c r="E198">
        <v>30</v>
      </c>
    </row>
    <row r="199" spans="1:5" x14ac:dyDescent="0.25">
      <c r="A199">
        <v>92</v>
      </c>
      <c r="B199">
        <v>16</v>
      </c>
      <c r="C199">
        <v>52766</v>
      </c>
      <c r="D199">
        <v>33</v>
      </c>
      <c r="E199">
        <v>17</v>
      </c>
    </row>
    <row r="200" spans="1:5" x14ac:dyDescent="0.25">
      <c r="A200">
        <v>72</v>
      </c>
      <c r="B200">
        <v>10</v>
      </c>
      <c r="C200">
        <v>32929</v>
      </c>
      <c r="D200">
        <v>30.9</v>
      </c>
      <c r="E200">
        <v>22</v>
      </c>
    </row>
    <row r="201" spans="1:5" x14ac:dyDescent="0.25">
      <c r="A201">
        <v>90</v>
      </c>
      <c r="B201">
        <v>24</v>
      </c>
      <c r="C201">
        <v>87863</v>
      </c>
      <c r="D201">
        <v>38.5</v>
      </c>
      <c r="E201">
        <v>29</v>
      </c>
    </row>
    <row r="202" spans="1:5" x14ac:dyDescent="0.25">
      <c r="A202">
        <v>64</v>
      </c>
      <c r="B202">
        <v>20</v>
      </c>
      <c r="C202">
        <v>73752</v>
      </c>
      <c r="D202">
        <v>40.5</v>
      </c>
      <c r="E202">
        <v>19</v>
      </c>
    </row>
    <row r="203" spans="1:5" x14ac:dyDescent="0.25">
      <c r="A203">
        <v>80</v>
      </c>
      <c r="B203">
        <v>20</v>
      </c>
      <c r="C203">
        <v>85366</v>
      </c>
      <c r="D203">
        <v>32.1</v>
      </c>
      <c r="E203">
        <v>29</v>
      </c>
    </row>
    <row r="204" spans="1:5" x14ac:dyDescent="0.25">
      <c r="A204">
        <v>102</v>
      </c>
      <c r="B204">
        <v>30</v>
      </c>
      <c r="C204">
        <v>39180</v>
      </c>
      <c r="D204">
        <v>34.799999999999997</v>
      </c>
      <c r="E204">
        <v>18</v>
      </c>
    </row>
    <row r="205" spans="1:5" x14ac:dyDescent="0.25">
      <c r="A205">
        <v>70</v>
      </c>
      <c r="B205">
        <v>26</v>
      </c>
      <c r="C205">
        <v>56077</v>
      </c>
      <c r="D205">
        <v>38</v>
      </c>
      <c r="E205">
        <v>19</v>
      </c>
    </row>
    <row r="206" spans="1:5" x14ac:dyDescent="0.25">
      <c r="A206">
        <v>62</v>
      </c>
      <c r="B206">
        <v>26</v>
      </c>
      <c r="C206">
        <v>77449</v>
      </c>
      <c r="D206">
        <v>37</v>
      </c>
      <c r="E206">
        <v>34</v>
      </c>
    </row>
    <row r="207" spans="1:5" x14ac:dyDescent="0.25">
      <c r="A207">
        <v>68</v>
      </c>
      <c r="B207">
        <v>20</v>
      </c>
      <c r="C207">
        <v>56822</v>
      </c>
      <c r="D207">
        <v>34.700000000000003</v>
      </c>
      <c r="E207">
        <v>25</v>
      </c>
    </row>
    <row r="208" spans="1:5" x14ac:dyDescent="0.25">
      <c r="A208">
        <v>74</v>
      </c>
      <c r="B208">
        <v>24</v>
      </c>
      <c r="C208">
        <v>80470</v>
      </c>
      <c r="D208">
        <v>36.4</v>
      </c>
      <c r="E208">
        <v>30</v>
      </c>
    </row>
    <row r="209" spans="1:5" x14ac:dyDescent="0.25">
      <c r="A209">
        <v>84</v>
      </c>
      <c r="B209">
        <v>14</v>
      </c>
      <c r="C209">
        <v>55584</v>
      </c>
      <c r="D209">
        <v>36.799999999999997</v>
      </c>
      <c r="E209">
        <v>21</v>
      </c>
    </row>
    <row r="210" spans="1:5" x14ac:dyDescent="0.25">
      <c r="A210">
        <v>70</v>
      </c>
      <c r="B210">
        <v>32</v>
      </c>
      <c r="C210">
        <v>78001</v>
      </c>
      <c r="D210">
        <v>32.200000000000003</v>
      </c>
      <c r="E210">
        <v>30</v>
      </c>
    </row>
    <row r="211" spans="1:5" x14ac:dyDescent="0.25">
      <c r="A211">
        <v>96</v>
      </c>
      <c r="B211">
        <v>32</v>
      </c>
      <c r="C211">
        <v>75307</v>
      </c>
      <c r="D211">
        <v>34.799999999999997</v>
      </c>
      <c r="E211">
        <v>30</v>
      </c>
    </row>
    <row r="212" spans="1:5" x14ac:dyDescent="0.25">
      <c r="A212">
        <v>70</v>
      </c>
      <c r="B212">
        <v>22</v>
      </c>
      <c r="C212">
        <v>76375</v>
      </c>
      <c r="D212">
        <v>36.700000000000003</v>
      </c>
      <c r="E212">
        <v>28</v>
      </c>
    </row>
    <row r="213" spans="1:5" x14ac:dyDescent="0.25">
      <c r="A213">
        <v>76</v>
      </c>
      <c r="B213">
        <v>32</v>
      </c>
      <c r="C213">
        <v>61857</v>
      </c>
      <c r="D213">
        <v>33.799999999999997</v>
      </c>
      <c r="E213">
        <v>31</v>
      </c>
    </row>
    <row r="214" spans="1:5" x14ac:dyDescent="0.25">
      <c r="A214">
        <v>62</v>
      </c>
      <c r="B214">
        <v>28</v>
      </c>
      <c r="C214">
        <v>61312</v>
      </c>
      <c r="D214">
        <v>34.200000000000003</v>
      </c>
      <c r="E214">
        <v>16</v>
      </c>
    </row>
    <row r="215" spans="1:5" x14ac:dyDescent="0.25">
      <c r="A215">
        <v>92</v>
      </c>
      <c r="B215">
        <v>23</v>
      </c>
      <c r="C215">
        <v>72040</v>
      </c>
      <c r="D215">
        <v>39</v>
      </c>
      <c r="E215">
        <v>31</v>
      </c>
    </row>
    <row r="216" spans="1:5" x14ac:dyDescent="0.25">
      <c r="A216">
        <v>60</v>
      </c>
      <c r="B216">
        <v>20</v>
      </c>
      <c r="C216">
        <v>92414</v>
      </c>
      <c r="D216">
        <v>34.9</v>
      </c>
      <c r="E216">
        <v>40</v>
      </c>
    </row>
    <row r="217" spans="1:5" x14ac:dyDescent="0.25">
      <c r="A217">
        <v>54</v>
      </c>
      <c r="B217">
        <v>15</v>
      </c>
      <c r="C217">
        <v>92602</v>
      </c>
      <c r="D217">
        <v>39.299999999999997</v>
      </c>
      <c r="E217">
        <v>33</v>
      </c>
    </row>
    <row r="218" spans="1:5" x14ac:dyDescent="0.25">
      <c r="A218">
        <v>110</v>
      </c>
      <c r="B218">
        <v>23</v>
      </c>
      <c r="C218">
        <v>59599</v>
      </c>
      <c r="D218">
        <v>35.6</v>
      </c>
      <c r="E218">
        <v>28</v>
      </c>
    </row>
    <row r="219" spans="1:5" x14ac:dyDescent="0.25">
      <c r="A219">
        <v>78</v>
      </c>
      <c r="B219">
        <v>0</v>
      </c>
      <c r="C219">
        <v>72453</v>
      </c>
      <c r="D219">
        <v>36</v>
      </c>
      <c r="E219">
        <v>23</v>
      </c>
    </row>
    <row r="220" spans="1:5" x14ac:dyDescent="0.25">
      <c r="A220">
        <v>72</v>
      </c>
      <c r="B220">
        <v>31</v>
      </c>
      <c r="C220">
        <v>67925</v>
      </c>
      <c r="D220">
        <v>41.1</v>
      </c>
      <c r="E220">
        <v>16</v>
      </c>
    </row>
    <row r="221" spans="1:5" x14ac:dyDescent="0.25">
      <c r="A221">
        <v>74</v>
      </c>
      <c r="B221">
        <v>29</v>
      </c>
      <c r="C221">
        <v>42631</v>
      </c>
      <c r="D221">
        <v>24.7</v>
      </c>
      <c r="E221">
        <v>25</v>
      </c>
    </row>
    <row r="222" spans="1:5" x14ac:dyDescent="0.25">
      <c r="A222">
        <v>94</v>
      </c>
      <c r="B222">
        <v>0</v>
      </c>
      <c r="C222">
        <v>75652</v>
      </c>
      <c r="D222">
        <v>40.5</v>
      </c>
      <c r="E222">
        <v>25</v>
      </c>
    </row>
    <row r="223" spans="1:5" x14ac:dyDescent="0.25">
      <c r="A223">
        <v>80</v>
      </c>
      <c r="B223">
        <v>16</v>
      </c>
      <c r="C223">
        <v>39650</v>
      </c>
      <c r="D223">
        <v>32.9</v>
      </c>
      <c r="E223">
        <v>18</v>
      </c>
    </row>
    <row r="224" spans="1:5" x14ac:dyDescent="0.25">
      <c r="A224">
        <v>124</v>
      </c>
      <c r="B224">
        <v>0</v>
      </c>
      <c r="C224">
        <v>48033</v>
      </c>
      <c r="D224">
        <v>30.3</v>
      </c>
      <c r="E224">
        <v>15</v>
      </c>
    </row>
    <row r="225" spans="1:5" x14ac:dyDescent="0.25">
      <c r="A225">
        <v>46</v>
      </c>
      <c r="B225">
        <v>20</v>
      </c>
      <c r="C225">
        <v>67403</v>
      </c>
      <c r="D225">
        <v>36.200000000000003</v>
      </c>
      <c r="E225">
        <v>19</v>
      </c>
    </row>
    <row r="226" spans="1:5" x14ac:dyDescent="0.25">
      <c r="A226">
        <v>66</v>
      </c>
      <c r="B226">
        <v>0</v>
      </c>
      <c r="C226">
        <v>80597</v>
      </c>
      <c r="D226">
        <v>32.4</v>
      </c>
      <c r="E226">
        <v>27</v>
      </c>
    </row>
    <row r="227" spans="1:5" x14ac:dyDescent="0.25">
      <c r="A227">
        <v>63</v>
      </c>
      <c r="B227">
        <v>28</v>
      </c>
      <c r="C227">
        <v>60928</v>
      </c>
      <c r="D227">
        <v>43.5</v>
      </c>
      <c r="E227">
        <v>21</v>
      </c>
    </row>
    <row r="228" spans="1:5" x14ac:dyDescent="0.25">
      <c r="A228">
        <v>72</v>
      </c>
      <c r="B228">
        <v>15</v>
      </c>
      <c r="C228">
        <v>73762</v>
      </c>
      <c r="D228">
        <v>41.6</v>
      </c>
      <c r="E228">
        <v>29</v>
      </c>
    </row>
    <row r="229" spans="1:5" x14ac:dyDescent="0.25">
      <c r="A229">
        <v>76</v>
      </c>
      <c r="B229">
        <v>24</v>
      </c>
      <c r="C229">
        <v>64225</v>
      </c>
      <c r="D229">
        <v>31.4</v>
      </c>
      <c r="E229">
        <v>15</v>
      </c>
    </row>
    <row r="231" spans="1:5" x14ac:dyDescent="0.25">
      <c r="A231" t="s">
        <v>4</v>
      </c>
    </row>
    <row r="232" spans="1:5" x14ac:dyDescent="0.25">
      <c r="A232">
        <v>-259.9497306438754</v>
      </c>
      <c r="B232">
        <v>-2.3669115356672386</v>
      </c>
    </row>
    <row r="233" spans="1:5" x14ac:dyDescent="0.25">
      <c r="A233">
        <v>-188.59001447667293</v>
      </c>
      <c r="B233">
        <v>-2.0061237235350715</v>
      </c>
    </row>
    <row r="234" spans="1:5" x14ac:dyDescent="0.25">
      <c r="A234">
        <v>-178.18631097409914</v>
      </c>
      <c r="B234">
        <v>-1.8007082352059736</v>
      </c>
    </row>
    <row r="235" spans="1:5" x14ac:dyDescent="0.25">
      <c r="A235">
        <v>-165.28886892108994</v>
      </c>
      <c r="B235">
        <v>-1.6514108613471326</v>
      </c>
    </row>
    <row r="236" spans="1:5" x14ac:dyDescent="0.25">
      <c r="A236">
        <v>-156.29303867814616</v>
      </c>
      <c r="B236">
        <v>-1.5318456091169121</v>
      </c>
    </row>
    <row r="237" spans="1:5" x14ac:dyDescent="0.25">
      <c r="A237">
        <v>-147.19953340426082</v>
      </c>
      <c r="B237">
        <v>-1.4308738678840611</v>
      </c>
    </row>
    <row r="238" spans="1:5" x14ac:dyDescent="0.25">
      <c r="A238">
        <v>-145.02041517590862</v>
      </c>
      <c r="B238">
        <v>-1.3426905457098073</v>
      </c>
    </row>
    <row r="239" spans="1:5" x14ac:dyDescent="0.25">
      <c r="A239">
        <v>-132.79622707748581</v>
      </c>
      <c r="B239">
        <v>-1.2638662790854323</v>
      </c>
    </row>
    <row r="240" spans="1:5" x14ac:dyDescent="0.25">
      <c r="A240">
        <v>-132.58387650311681</v>
      </c>
      <c r="B240">
        <v>-1.1921973902333569</v>
      </c>
    </row>
    <row r="241" spans="1:2" x14ac:dyDescent="0.25">
      <c r="A241">
        <v>-127.86575750152417</v>
      </c>
      <c r="B241">
        <v>-1.1261791756777488</v>
      </c>
    </row>
    <row r="242" spans="1:2" x14ac:dyDescent="0.25">
      <c r="A242">
        <v>-124.49165008442088</v>
      </c>
      <c r="B242">
        <v>-1.0647357756769957</v>
      </c>
    </row>
    <row r="243" spans="1:2" x14ac:dyDescent="0.25">
      <c r="A243">
        <v>-123.01638449295081</v>
      </c>
      <c r="B243">
        <v>-1.007069565696844</v>
      </c>
    </row>
    <row r="244" spans="1:2" x14ac:dyDescent="0.25">
      <c r="A244">
        <v>-118.43130685295759</v>
      </c>
      <c r="B244">
        <v>-0.95257159496302291</v>
      </c>
    </row>
    <row r="245" spans="1:2" x14ac:dyDescent="0.25">
      <c r="A245">
        <v>-110.84406523151279</v>
      </c>
      <c r="B245">
        <v>-0.900765518860694</v>
      </c>
    </row>
    <row r="246" spans="1:2" x14ac:dyDescent="0.25">
      <c r="A246">
        <v>-110.14775516515914</v>
      </c>
      <c r="B246">
        <v>-0.85127099341835111</v>
      </c>
    </row>
    <row r="247" spans="1:2" x14ac:dyDescent="0.25">
      <c r="A247">
        <v>-109.34302779136598</v>
      </c>
      <c r="B247">
        <v>-0.80377892422808705</v>
      </c>
    </row>
    <row r="248" spans="1:2" x14ac:dyDescent="0.25">
      <c r="A248">
        <v>-105.10972631445526</v>
      </c>
      <c r="B248">
        <v>-0.75803422638737739</v>
      </c>
    </row>
    <row r="249" spans="1:2" x14ac:dyDescent="0.25">
      <c r="A249">
        <v>-104.76168920771437</v>
      </c>
      <c r="B249">
        <v>-0.71382350560787522</v>
      </c>
    </row>
    <row r="250" spans="1:2" x14ac:dyDescent="0.25">
      <c r="A250">
        <v>-100.1917272771777</v>
      </c>
      <c r="B250">
        <v>-0.67096605792932884</v>
      </c>
    </row>
    <row r="251" spans="1:2" x14ac:dyDescent="0.25">
      <c r="A251">
        <v>-96.94553992837433</v>
      </c>
      <c r="B251">
        <v>-0.62930716412636234</v>
      </c>
    </row>
    <row r="252" spans="1:2" x14ac:dyDescent="0.25">
      <c r="A252">
        <v>-78.522240753183667</v>
      </c>
      <c r="B252">
        <v>-0.58871300604753007</v>
      </c>
    </row>
    <row r="253" spans="1:2" x14ac:dyDescent="0.25">
      <c r="A253">
        <v>-66.833182556014549</v>
      </c>
      <c r="B253">
        <v>-0.54906675180769393</v>
      </c>
    </row>
    <row r="254" spans="1:2" x14ac:dyDescent="0.25">
      <c r="A254">
        <v>-63.936796215120808</v>
      </c>
      <c r="B254">
        <v>-0.51026549793017306</v>
      </c>
    </row>
    <row r="255" spans="1:2" x14ac:dyDescent="0.25">
      <c r="A255">
        <v>-54.966669760617265</v>
      </c>
      <c r="B255">
        <v>-0.47221784945203604</v>
      </c>
    </row>
    <row r="256" spans="1:2" x14ac:dyDescent="0.25">
      <c r="A256">
        <v>-49.508934138266227</v>
      </c>
      <c r="B256">
        <v>-0.43484198148043174</v>
      </c>
    </row>
    <row r="257" spans="1:2" x14ac:dyDescent="0.25">
      <c r="A257">
        <v>-43.817663256975038</v>
      </c>
      <c r="B257">
        <v>-0.39806406850726872</v>
      </c>
    </row>
    <row r="258" spans="1:2" x14ac:dyDescent="0.25">
      <c r="A258">
        <v>-30.562241430859501</v>
      </c>
      <c r="B258">
        <v>-0.36181699764906894</v>
      </c>
    </row>
    <row r="259" spans="1:2" x14ac:dyDescent="0.25">
      <c r="A259">
        <v>-29.70568021844656</v>
      </c>
      <c r="B259">
        <v>-0.32603930312779328</v>
      </c>
    </row>
    <row r="260" spans="1:2" x14ac:dyDescent="0.25">
      <c r="A260">
        <v>-28.821116025843139</v>
      </c>
      <c r="B260">
        <v>-0.29067427449912897</v>
      </c>
    </row>
    <row r="261" spans="1:2" x14ac:dyDescent="0.25">
      <c r="A261">
        <v>-21.382919046942618</v>
      </c>
      <c r="B261">
        <v>-0.25566920218287226</v>
      </c>
    </row>
    <row r="262" spans="1:2" x14ac:dyDescent="0.25">
      <c r="A262">
        <v>-20.809630247130656</v>
      </c>
      <c r="B262">
        <v>-0.22097473197364204</v>
      </c>
    </row>
    <row r="263" spans="1:2" x14ac:dyDescent="0.25">
      <c r="A263">
        <v>-18.033685890819072</v>
      </c>
      <c r="B263">
        <v>-0.18654430623872015</v>
      </c>
    </row>
    <row r="264" spans="1:2" x14ac:dyDescent="0.25">
      <c r="A264">
        <v>-16.473229427411866</v>
      </c>
      <c r="B264">
        <v>-0.15233367401592207</v>
      </c>
    </row>
    <row r="265" spans="1:2" x14ac:dyDescent="0.25">
      <c r="A265">
        <v>-15.5268611118384</v>
      </c>
      <c r="B265">
        <v>-0.11830045560782071</v>
      </c>
    </row>
    <row r="266" spans="1:2" x14ac:dyDescent="0.25">
      <c r="A266">
        <v>-12.583202480795933</v>
      </c>
      <c r="B266">
        <v>-8.4403749811161166E-2</v>
      </c>
    </row>
    <row r="267" spans="1:2" x14ac:dyDescent="0.25">
      <c r="A267">
        <v>-11.599189948491471</v>
      </c>
      <c r="B267">
        <v>-5.0603773821742956E-2</v>
      </c>
    </row>
    <row r="268" spans="1:2" x14ac:dyDescent="0.25">
      <c r="A268">
        <v>-10.641619741945703</v>
      </c>
      <c r="B268">
        <v>-1.6861527257184476E-2</v>
      </c>
    </row>
    <row r="269" spans="1:2" x14ac:dyDescent="0.25">
      <c r="A269">
        <v>-6.4663288735301307</v>
      </c>
      <c r="B269">
        <v>1.6861527257184199E-2</v>
      </c>
    </row>
    <row r="270" spans="1:2" x14ac:dyDescent="0.25">
      <c r="A270">
        <v>6.6082090725618059</v>
      </c>
      <c r="B270">
        <v>5.0603773821742665E-2</v>
      </c>
    </row>
    <row r="271" spans="1:2" x14ac:dyDescent="0.25">
      <c r="A271">
        <v>10.102638902655599</v>
      </c>
      <c r="B271">
        <v>8.4403749811160889E-2</v>
      </c>
    </row>
    <row r="272" spans="1:2" x14ac:dyDescent="0.25">
      <c r="A272">
        <v>10.155669158168564</v>
      </c>
      <c r="B272">
        <v>0.11830045560782043</v>
      </c>
    </row>
    <row r="273" spans="1:2" x14ac:dyDescent="0.25">
      <c r="A273">
        <v>11.542432410291326</v>
      </c>
      <c r="B273">
        <v>0.15233367401592179</v>
      </c>
    </row>
    <row r="274" spans="1:2" x14ac:dyDescent="0.25">
      <c r="A274">
        <v>13.479255723311155</v>
      </c>
      <c r="B274">
        <v>0.18654430623871987</v>
      </c>
    </row>
    <row r="275" spans="1:2" x14ac:dyDescent="0.25">
      <c r="A275">
        <v>15.021396684328749</v>
      </c>
      <c r="B275">
        <v>0.22097473197364204</v>
      </c>
    </row>
    <row r="276" spans="1:2" x14ac:dyDescent="0.25">
      <c r="A276">
        <v>18.966379811640309</v>
      </c>
      <c r="B276">
        <v>0.25566920218287192</v>
      </c>
    </row>
    <row r="277" spans="1:2" x14ac:dyDescent="0.25">
      <c r="A277">
        <v>19.212202527873956</v>
      </c>
      <c r="B277">
        <v>0.29067427449912864</v>
      </c>
    </row>
    <row r="278" spans="1:2" x14ac:dyDescent="0.25">
      <c r="A278">
        <v>19.593828773788857</v>
      </c>
      <c r="B278">
        <v>0.32603930312779328</v>
      </c>
    </row>
    <row r="279" spans="1:2" x14ac:dyDescent="0.25">
      <c r="A279">
        <v>19.741984430387959</v>
      </c>
      <c r="B279">
        <v>0.36181699764906872</v>
      </c>
    </row>
    <row r="280" spans="1:2" x14ac:dyDescent="0.25">
      <c r="A280">
        <v>23.747078135429433</v>
      </c>
      <c r="B280">
        <v>0.3980640685072685</v>
      </c>
    </row>
    <row r="281" spans="1:2" x14ac:dyDescent="0.25">
      <c r="A281">
        <v>25.17362173870049</v>
      </c>
      <c r="B281">
        <v>0.43484198148043174</v>
      </c>
    </row>
    <row r="282" spans="1:2" x14ac:dyDescent="0.25">
      <c r="A282">
        <v>28.919438687171692</v>
      </c>
      <c r="B282">
        <v>0.4722178494520356</v>
      </c>
    </row>
    <row r="283" spans="1:2" x14ac:dyDescent="0.25">
      <c r="A283">
        <v>38.469756450399473</v>
      </c>
      <c r="B283">
        <v>0.51026549793017262</v>
      </c>
    </row>
    <row r="284" spans="1:2" x14ac:dyDescent="0.25">
      <c r="A284">
        <v>50.983178841704841</v>
      </c>
      <c r="B284">
        <v>0.54906675180769393</v>
      </c>
    </row>
    <row r="285" spans="1:2" x14ac:dyDescent="0.25">
      <c r="A285">
        <v>53.035706828263926</v>
      </c>
      <c r="B285">
        <v>0.58871300604752985</v>
      </c>
    </row>
    <row r="286" spans="1:2" x14ac:dyDescent="0.25">
      <c r="A286">
        <v>61.102903905991866</v>
      </c>
      <c r="B286">
        <v>0.62930716412636212</v>
      </c>
    </row>
    <row r="287" spans="1:2" x14ac:dyDescent="0.25">
      <c r="A287">
        <v>63.120495354779507</v>
      </c>
      <c r="B287">
        <v>0.67096605792932884</v>
      </c>
    </row>
    <row r="288" spans="1:2" x14ac:dyDescent="0.25">
      <c r="A288">
        <v>63.838015371795052</v>
      </c>
      <c r="B288">
        <v>0.71382350560787478</v>
      </c>
    </row>
    <row r="289" spans="1:2" x14ac:dyDescent="0.25">
      <c r="A289">
        <v>71.083353972822806</v>
      </c>
      <c r="B289">
        <v>0.75803422638737739</v>
      </c>
    </row>
    <row r="290" spans="1:2" x14ac:dyDescent="0.25">
      <c r="A290">
        <v>71.328164837458417</v>
      </c>
      <c r="B290">
        <v>0.80377892422808683</v>
      </c>
    </row>
    <row r="291" spans="1:2" x14ac:dyDescent="0.25">
      <c r="A291">
        <v>75.182885892887043</v>
      </c>
      <c r="B291">
        <v>0.85127099341835066</v>
      </c>
    </row>
    <row r="292" spans="1:2" x14ac:dyDescent="0.25">
      <c r="A292">
        <v>75.280252546907718</v>
      </c>
      <c r="B292">
        <v>0.900765518860694</v>
      </c>
    </row>
    <row r="293" spans="1:2" x14ac:dyDescent="0.25">
      <c r="A293">
        <v>81.320655435702633</v>
      </c>
      <c r="B293">
        <v>0.95257159496302224</v>
      </c>
    </row>
    <row r="294" spans="1:2" x14ac:dyDescent="0.25">
      <c r="A294">
        <v>81.635102553611659</v>
      </c>
      <c r="B294">
        <v>1.0070695656968436</v>
      </c>
    </row>
    <row r="295" spans="1:2" x14ac:dyDescent="0.25">
      <c r="A295">
        <v>105.5764644419562</v>
      </c>
      <c r="B295">
        <v>1.0647357756769957</v>
      </c>
    </row>
    <row r="296" spans="1:2" x14ac:dyDescent="0.25">
      <c r="A296">
        <v>115.02538442929404</v>
      </c>
      <c r="B296">
        <v>1.1261791756777484</v>
      </c>
    </row>
    <row r="297" spans="1:2" x14ac:dyDescent="0.25">
      <c r="A297">
        <v>122.22338041684225</v>
      </c>
      <c r="B297">
        <v>1.1921973902333565</v>
      </c>
    </row>
    <row r="298" spans="1:2" x14ac:dyDescent="0.25">
      <c r="A298">
        <v>150.11784901058002</v>
      </c>
      <c r="B298">
        <v>1.2638662790854323</v>
      </c>
    </row>
    <row r="299" spans="1:2" x14ac:dyDescent="0.25">
      <c r="A299">
        <v>180.39342851669358</v>
      </c>
      <c r="B299">
        <v>1.3426905457098064</v>
      </c>
    </row>
    <row r="300" spans="1:2" x14ac:dyDescent="0.25">
      <c r="A300">
        <v>196.26713758450819</v>
      </c>
      <c r="B300">
        <v>1.4308738678840602</v>
      </c>
    </row>
    <row r="301" spans="1:2" x14ac:dyDescent="0.25">
      <c r="A301">
        <v>205.79931400074997</v>
      </c>
      <c r="B301">
        <v>1.5318456091169121</v>
      </c>
    </row>
    <row r="302" spans="1:2" x14ac:dyDescent="0.25">
      <c r="A302">
        <v>234.85633376172507</v>
      </c>
      <c r="B302">
        <v>1.6514108613471321</v>
      </c>
    </row>
    <row r="303" spans="1:2" x14ac:dyDescent="0.25">
      <c r="A303">
        <v>289.73389309919276</v>
      </c>
      <c r="B303">
        <v>1.8007082352059736</v>
      </c>
    </row>
    <row r="304" spans="1:2" x14ac:dyDescent="0.25">
      <c r="A304">
        <v>336.09044955563638</v>
      </c>
      <c r="B304">
        <v>2.0061237235350715</v>
      </c>
    </row>
    <row r="305" spans="1:2" x14ac:dyDescent="0.25">
      <c r="A305">
        <v>372.51959396068435</v>
      </c>
      <c r="B305">
        <v>2.3669115356672332</v>
      </c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49"/>
  <sheetViews>
    <sheetView topLeftCell="A72" workbookViewId="0">
      <selection activeCell="L5" sqref="L5"/>
    </sheetView>
  </sheetViews>
  <sheetFormatPr defaultColWidth="9.1796875" defaultRowHeight="12.5" x14ac:dyDescent="0.25"/>
  <cols>
    <col min="1" max="1" width="14.36328125" style="1" customWidth="1"/>
    <col min="2" max="2" width="13.1796875" style="1" customWidth="1"/>
    <col min="3" max="3" width="16" style="1" bestFit="1" customWidth="1"/>
    <col min="4" max="4" width="16.54296875" style="1" bestFit="1" customWidth="1"/>
    <col min="5" max="5" width="25.54296875" style="1" customWidth="1"/>
    <col min="6" max="6" width="19.6328125" style="2" customWidth="1"/>
    <col min="7" max="7" width="24.1796875" style="2" customWidth="1"/>
    <col min="8" max="8" width="10.54296875" style="2" customWidth="1"/>
    <col min="9" max="9" width="20.6328125" style="2" customWidth="1"/>
    <col min="10" max="10" width="19.7265625" style="1" customWidth="1"/>
    <col min="11" max="11" width="20.1796875" style="1" customWidth="1"/>
    <col min="12" max="12" width="18" customWidth="1"/>
    <col min="13" max="13" width="18.36328125" style="1" customWidth="1"/>
    <col min="14" max="14" width="28.453125" style="1" customWidth="1"/>
    <col min="15" max="15" width="22.26953125" style="1" customWidth="1"/>
    <col min="16" max="16" width="18.36328125" style="1" customWidth="1"/>
    <col min="17" max="17" width="22.453125" style="1" customWidth="1"/>
    <col min="18" max="18" width="15.54296875" style="1" customWidth="1"/>
    <col min="19" max="16384" width="9.1796875" style="1"/>
  </cols>
  <sheetData>
    <row r="1" spans="1:18" ht="29.25" customHeight="1" x14ac:dyDescent="0.25">
      <c r="A1" s="5" t="s">
        <v>23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22</v>
      </c>
      <c r="H1" s="5" t="s">
        <v>10</v>
      </c>
      <c r="I1" s="5" t="s">
        <v>21</v>
      </c>
      <c r="J1" s="6" t="s">
        <v>20</v>
      </c>
      <c r="K1" s="30" t="s">
        <v>35</v>
      </c>
      <c r="L1" s="30" t="s">
        <v>34</v>
      </c>
      <c r="M1" s="30" t="s">
        <v>38</v>
      </c>
      <c r="N1" s="30" t="s">
        <v>44</v>
      </c>
      <c r="O1" s="30" t="s">
        <v>43</v>
      </c>
      <c r="P1" s="30" t="s">
        <v>39</v>
      </c>
      <c r="Q1" s="30" t="s">
        <v>40</v>
      </c>
      <c r="R1" s="30" t="s">
        <v>47</v>
      </c>
    </row>
    <row r="2" spans="1:18" ht="26" x14ac:dyDescent="0.25">
      <c r="A2" s="20" t="s">
        <v>11</v>
      </c>
      <c r="B2" s="18" t="s">
        <v>12</v>
      </c>
      <c r="C2" s="9" t="s">
        <v>13</v>
      </c>
      <c r="D2" s="9" t="s">
        <v>14</v>
      </c>
      <c r="E2" s="9" t="s">
        <v>15</v>
      </c>
      <c r="F2" s="9" t="s">
        <v>16</v>
      </c>
      <c r="G2" s="9" t="s">
        <v>17</v>
      </c>
      <c r="H2" s="9" t="s">
        <v>18</v>
      </c>
      <c r="I2" s="9" t="s">
        <v>19</v>
      </c>
      <c r="J2" s="10" t="s">
        <v>33</v>
      </c>
      <c r="K2" s="18" t="s">
        <v>36</v>
      </c>
      <c r="L2" s="29" t="s">
        <v>37</v>
      </c>
      <c r="M2" s="20" t="s">
        <v>38</v>
      </c>
      <c r="N2" s="20" t="s">
        <v>42</v>
      </c>
      <c r="O2" s="20" t="s">
        <v>46</v>
      </c>
      <c r="P2" s="20" t="s">
        <v>39</v>
      </c>
      <c r="Q2" s="20" t="s">
        <v>41</v>
      </c>
      <c r="R2" s="20" t="s">
        <v>45</v>
      </c>
    </row>
    <row r="3" spans="1:18" x14ac:dyDescent="0.25">
      <c r="A3" s="21">
        <v>64</v>
      </c>
      <c r="B3" s="19">
        <v>2700</v>
      </c>
      <c r="C3" s="11">
        <v>6.95</v>
      </c>
      <c r="D3" s="12">
        <v>14.09</v>
      </c>
      <c r="E3" s="13">
        <v>3.38</v>
      </c>
      <c r="F3" s="14">
        <v>234.04</v>
      </c>
      <c r="G3" s="15">
        <v>72453</v>
      </c>
      <c r="H3" s="16">
        <v>36</v>
      </c>
      <c r="I3" s="17">
        <v>23</v>
      </c>
      <c r="J3" s="33">
        <f>B3*F3/1000</f>
        <v>631.90800000000002</v>
      </c>
      <c r="K3" s="28">
        <v>62</v>
      </c>
      <c r="L3" s="31">
        <v>72</v>
      </c>
      <c r="M3" s="32">
        <v>78</v>
      </c>
      <c r="N3" s="34">
        <f>O3*4</f>
        <v>481.36</v>
      </c>
      <c r="O3" s="34">
        <v>120.34</v>
      </c>
      <c r="P3" s="32">
        <v>75</v>
      </c>
      <c r="Q3" s="32">
        <v>9</v>
      </c>
      <c r="R3" s="32">
        <v>80</v>
      </c>
    </row>
    <row r="4" spans="1:18" x14ac:dyDescent="0.25">
      <c r="A4" s="21">
        <v>44</v>
      </c>
      <c r="B4" s="19">
        <v>3200</v>
      </c>
      <c r="C4" s="11">
        <v>7.17</v>
      </c>
      <c r="D4" s="12">
        <v>8.5399999999999991</v>
      </c>
      <c r="E4" s="13">
        <v>3.07</v>
      </c>
      <c r="F4" s="14">
        <v>312.14999999999998</v>
      </c>
      <c r="G4" s="15">
        <v>52766</v>
      </c>
      <c r="H4" s="16">
        <v>33</v>
      </c>
      <c r="I4" s="17">
        <v>17</v>
      </c>
      <c r="J4" s="33">
        <f>B4*F4/1000</f>
        <v>998.87999999999988</v>
      </c>
      <c r="K4" s="28">
        <v>60</v>
      </c>
      <c r="L4" s="31">
        <v>64</v>
      </c>
      <c r="M4" s="32">
        <v>65</v>
      </c>
      <c r="N4" s="34">
        <f>O4*4</f>
        <v>840.37706304939604</v>
      </c>
      <c r="O4" s="34">
        <v>210.09426576234901</v>
      </c>
      <c r="P4" s="32">
        <v>62</v>
      </c>
      <c r="Q4" s="32">
        <v>10</v>
      </c>
      <c r="R4" s="32">
        <v>73</v>
      </c>
    </row>
    <row r="5" spans="1:18" x14ac:dyDescent="0.25">
      <c r="A5" s="21">
        <v>6</v>
      </c>
      <c r="B5" s="19">
        <v>2806</v>
      </c>
      <c r="C5" s="11">
        <v>6.93</v>
      </c>
      <c r="D5" s="12">
        <v>-1.94</v>
      </c>
      <c r="E5" s="13">
        <v>2.96</v>
      </c>
      <c r="F5" s="14">
        <v>264.64</v>
      </c>
      <c r="G5" s="15">
        <v>41562</v>
      </c>
      <c r="H5" s="16">
        <v>36.299999999999997</v>
      </c>
      <c r="I5" s="17">
        <v>30</v>
      </c>
      <c r="J5" s="33">
        <f>B5*F5/1000</f>
        <v>742.57983999999999</v>
      </c>
      <c r="K5" s="28">
        <v>55</v>
      </c>
      <c r="L5" s="31">
        <v>60</v>
      </c>
      <c r="M5" s="32">
        <v>61</v>
      </c>
      <c r="N5" s="34">
        <f>O5*4</f>
        <v>1310.164430080388</v>
      </c>
      <c r="O5" s="34">
        <v>327.541107520097</v>
      </c>
      <c r="P5" s="32">
        <v>60</v>
      </c>
      <c r="Q5" s="32">
        <v>9</v>
      </c>
      <c r="R5" s="32">
        <v>70</v>
      </c>
    </row>
    <row r="6" spans="1:18" x14ac:dyDescent="0.25">
      <c r="A6" s="21">
        <v>42</v>
      </c>
      <c r="B6" s="19">
        <v>2487</v>
      </c>
      <c r="C6" s="11">
        <v>7.05</v>
      </c>
      <c r="D6" s="12">
        <v>8.08</v>
      </c>
      <c r="E6" s="13">
        <v>2.83</v>
      </c>
      <c r="F6" s="14">
        <v>380.34</v>
      </c>
      <c r="G6" s="15">
        <v>79701</v>
      </c>
      <c r="H6" s="16">
        <v>35</v>
      </c>
      <c r="I6" s="17">
        <v>39</v>
      </c>
      <c r="J6" s="33">
        <f>B6*F6/1000</f>
        <v>945.90557999999999</v>
      </c>
      <c r="K6" s="28">
        <v>56</v>
      </c>
      <c r="L6" s="31">
        <v>54</v>
      </c>
      <c r="M6" s="32">
        <v>56</v>
      </c>
      <c r="N6" s="34">
        <f t="shared" ref="N6:N13" si="0">O6*4</f>
        <v>1043.579444469792</v>
      </c>
      <c r="O6" s="34">
        <v>260.89486111744799</v>
      </c>
      <c r="P6" s="32">
        <v>57</v>
      </c>
      <c r="Q6" s="32">
        <v>9</v>
      </c>
      <c r="R6" s="32">
        <v>65</v>
      </c>
    </row>
    <row r="7" spans="1:18" x14ac:dyDescent="0.25">
      <c r="A7" s="21">
        <v>71</v>
      </c>
      <c r="B7" s="19">
        <v>2400</v>
      </c>
      <c r="C7" s="11">
        <v>6.79</v>
      </c>
      <c r="D7" s="12">
        <v>18.43</v>
      </c>
      <c r="E7" s="13">
        <v>2.81</v>
      </c>
      <c r="F7" s="14">
        <v>245.74</v>
      </c>
      <c r="G7" s="15">
        <v>80597</v>
      </c>
      <c r="H7" s="16">
        <v>32.4</v>
      </c>
      <c r="I7" s="17">
        <v>27</v>
      </c>
      <c r="J7" s="33">
        <f t="shared" ref="J7:J70" si="1">B7*F7/1000</f>
        <v>589.77599999999995</v>
      </c>
      <c r="K7" s="28">
        <v>46</v>
      </c>
      <c r="L7" s="31">
        <v>54</v>
      </c>
      <c r="M7" s="32">
        <v>50</v>
      </c>
      <c r="N7" s="34">
        <f t="shared" si="0"/>
        <v>1227.6431316340961</v>
      </c>
      <c r="O7" s="34">
        <v>306.91078290852403</v>
      </c>
      <c r="P7" s="32">
        <v>55</v>
      </c>
      <c r="Q7" s="32">
        <v>10</v>
      </c>
      <c r="R7" s="32">
        <v>64</v>
      </c>
    </row>
    <row r="8" spans="1:18" x14ac:dyDescent="0.25">
      <c r="A8" s="21">
        <v>33</v>
      </c>
      <c r="B8" s="19">
        <v>2600</v>
      </c>
      <c r="C8" s="11">
        <v>7.07</v>
      </c>
      <c r="D8" s="12">
        <v>6.13</v>
      </c>
      <c r="E8" s="13">
        <v>2.73</v>
      </c>
      <c r="F8" s="14">
        <v>274.3</v>
      </c>
      <c r="G8" s="15">
        <v>45723</v>
      </c>
      <c r="H8" s="16">
        <v>31.3</v>
      </c>
      <c r="I8" s="17">
        <v>18</v>
      </c>
      <c r="J8" s="33">
        <f t="shared" si="1"/>
        <v>713.18</v>
      </c>
      <c r="K8" s="28">
        <v>53</v>
      </c>
      <c r="L8" s="31">
        <v>50</v>
      </c>
      <c r="M8" s="32">
        <v>50</v>
      </c>
      <c r="N8" s="34">
        <f t="shared" si="0"/>
        <v>1725.1075067697641</v>
      </c>
      <c r="O8" s="34">
        <v>431.27687669244102</v>
      </c>
      <c r="P8" s="32">
        <v>54</v>
      </c>
      <c r="Q8" s="32">
        <v>10</v>
      </c>
      <c r="R8" s="32">
        <v>61</v>
      </c>
    </row>
    <row r="9" spans="1:18" x14ac:dyDescent="0.25">
      <c r="A9" s="21">
        <v>16</v>
      </c>
      <c r="B9" s="19">
        <v>2500</v>
      </c>
      <c r="C9" s="11">
        <v>7.18</v>
      </c>
      <c r="D9" s="12">
        <v>2.12</v>
      </c>
      <c r="E9" s="13">
        <v>2.64</v>
      </c>
      <c r="F9" s="14">
        <v>368.73</v>
      </c>
      <c r="G9" s="15">
        <v>45206</v>
      </c>
      <c r="H9" s="16">
        <v>32.4</v>
      </c>
      <c r="I9" s="17">
        <v>17</v>
      </c>
      <c r="J9" s="33">
        <f t="shared" si="1"/>
        <v>921.82500000000005</v>
      </c>
      <c r="K9" s="28">
        <v>52</v>
      </c>
      <c r="L9" s="31">
        <v>52</v>
      </c>
      <c r="M9" s="32">
        <v>47</v>
      </c>
      <c r="N9" s="34">
        <f t="shared" si="0"/>
        <v>756.93873297112395</v>
      </c>
      <c r="O9" s="34">
        <v>189.23468324278099</v>
      </c>
      <c r="P9" s="32">
        <v>54</v>
      </c>
      <c r="Q9" s="32">
        <v>9</v>
      </c>
      <c r="R9" s="32">
        <v>60</v>
      </c>
    </row>
    <row r="10" spans="1:18" x14ac:dyDescent="0.25">
      <c r="A10" s="21">
        <v>26</v>
      </c>
      <c r="B10" s="19">
        <v>2154</v>
      </c>
      <c r="C10" s="11">
        <v>6.54</v>
      </c>
      <c r="D10" s="12">
        <v>5.14</v>
      </c>
      <c r="E10" s="13">
        <v>2.63</v>
      </c>
      <c r="F10" s="14">
        <v>562.12</v>
      </c>
      <c r="G10" s="15">
        <v>88162</v>
      </c>
      <c r="H10" s="16">
        <v>37.700000000000003</v>
      </c>
      <c r="I10" s="17">
        <v>37</v>
      </c>
      <c r="J10" s="33">
        <f t="shared" si="1"/>
        <v>1210.80648</v>
      </c>
      <c r="K10" s="28">
        <v>53</v>
      </c>
      <c r="L10" s="31">
        <v>51</v>
      </c>
      <c r="M10" s="32">
        <v>51</v>
      </c>
      <c r="N10" s="34">
        <f t="shared" si="0"/>
        <v>1385.056325552164</v>
      </c>
      <c r="O10" s="34">
        <v>346.26408138804101</v>
      </c>
      <c r="P10" s="32">
        <v>45</v>
      </c>
      <c r="Q10" s="32">
        <v>9</v>
      </c>
      <c r="R10" s="32">
        <v>56</v>
      </c>
    </row>
    <row r="11" spans="1:18" x14ac:dyDescent="0.25">
      <c r="A11" s="21">
        <v>58</v>
      </c>
      <c r="B11" s="19">
        <v>2600</v>
      </c>
      <c r="C11" s="11">
        <v>6.92</v>
      </c>
      <c r="D11" s="12">
        <v>11.73</v>
      </c>
      <c r="E11" s="13">
        <v>2.56</v>
      </c>
      <c r="F11" s="14">
        <v>551.58000000000004</v>
      </c>
      <c r="G11" s="15">
        <v>61857</v>
      </c>
      <c r="H11" s="16">
        <v>33.799999999999997</v>
      </c>
      <c r="I11" s="17">
        <v>31</v>
      </c>
      <c r="J11" s="33">
        <f t="shared" si="1"/>
        <v>1434.1079999999999</v>
      </c>
      <c r="K11" s="28">
        <v>32</v>
      </c>
      <c r="L11" s="31">
        <v>51</v>
      </c>
      <c r="M11" s="32">
        <v>50</v>
      </c>
      <c r="N11" s="34">
        <f t="shared" si="0"/>
        <v>1753.9832552583241</v>
      </c>
      <c r="O11" s="34">
        <v>438.49581381458103</v>
      </c>
      <c r="P11" s="32">
        <v>55</v>
      </c>
      <c r="Q11" s="32">
        <v>10</v>
      </c>
      <c r="R11" s="32">
        <v>55</v>
      </c>
    </row>
    <row r="12" spans="1:18" x14ac:dyDescent="0.25">
      <c r="A12" s="21">
        <v>2</v>
      </c>
      <c r="B12" s="19">
        <v>2604</v>
      </c>
      <c r="C12" s="11">
        <v>7.57</v>
      </c>
      <c r="D12" s="12">
        <v>-4.01</v>
      </c>
      <c r="E12" s="13">
        <v>2.54</v>
      </c>
      <c r="F12" s="14">
        <v>209.93</v>
      </c>
      <c r="G12" s="15">
        <v>51888</v>
      </c>
      <c r="H12" s="16">
        <v>41.2</v>
      </c>
      <c r="I12" s="17">
        <v>20</v>
      </c>
      <c r="J12" s="33">
        <f t="shared" si="1"/>
        <v>546.65771999999993</v>
      </c>
      <c r="K12" s="27">
        <v>40</v>
      </c>
      <c r="L12" s="31">
        <v>50</v>
      </c>
      <c r="M12" s="32">
        <v>54</v>
      </c>
      <c r="N12" s="34">
        <f t="shared" si="0"/>
        <v>1548.5545287702439</v>
      </c>
      <c r="O12" s="34">
        <v>387.13863219256098</v>
      </c>
      <c r="P12" s="32">
        <v>56</v>
      </c>
      <c r="Q12" s="32">
        <v>10</v>
      </c>
      <c r="R12" s="32">
        <v>53</v>
      </c>
    </row>
    <row r="13" spans="1:18" x14ac:dyDescent="0.25">
      <c r="A13" s="21">
        <v>48</v>
      </c>
      <c r="B13" s="19">
        <v>2625</v>
      </c>
      <c r="C13" s="11">
        <v>6.96</v>
      </c>
      <c r="D13" s="12">
        <v>8.7899999999999991</v>
      </c>
      <c r="E13" s="13">
        <v>2.5099999999999998</v>
      </c>
      <c r="F13" s="14">
        <v>431.93</v>
      </c>
      <c r="G13" s="15">
        <v>85366</v>
      </c>
      <c r="H13" s="16">
        <v>32.1</v>
      </c>
      <c r="I13" s="17">
        <v>29</v>
      </c>
      <c r="J13" s="33">
        <f t="shared" si="1"/>
        <v>1133.8162500000001</v>
      </c>
      <c r="K13" s="28">
        <v>42</v>
      </c>
      <c r="L13" s="31">
        <v>48</v>
      </c>
      <c r="M13" s="32">
        <v>53</v>
      </c>
      <c r="N13" s="34">
        <f t="shared" si="0"/>
        <v>1813.2322840896959</v>
      </c>
      <c r="O13" s="34">
        <v>453.30807102242397</v>
      </c>
      <c r="P13" s="32">
        <v>48</v>
      </c>
      <c r="Q13" s="32">
        <v>9</v>
      </c>
      <c r="R13" s="32">
        <v>53</v>
      </c>
    </row>
    <row r="14" spans="1:18" x14ac:dyDescent="0.25">
      <c r="A14" s="21">
        <v>25</v>
      </c>
      <c r="B14" s="19">
        <v>2430</v>
      </c>
      <c r="C14" s="11">
        <v>7.05</v>
      </c>
      <c r="D14" s="12">
        <v>5.09</v>
      </c>
      <c r="E14" s="13">
        <v>2.5</v>
      </c>
      <c r="F14" s="14">
        <v>393.9</v>
      </c>
      <c r="G14" s="15">
        <v>51893</v>
      </c>
      <c r="H14" s="16">
        <v>40.6</v>
      </c>
      <c r="I14" s="17">
        <v>21</v>
      </c>
      <c r="J14" s="33">
        <f t="shared" si="1"/>
        <v>957.17700000000002</v>
      </c>
      <c r="K14" s="28">
        <v>42</v>
      </c>
      <c r="L14" s="31">
        <v>48</v>
      </c>
      <c r="M14" s="32">
        <v>53</v>
      </c>
      <c r="N14" s="34">
        <f>O14*4</f>
        <v>1241.3555513388801</v>
      </c>
      <c r="O14" s="34">
        <v>310.33888783472003</v>
      </c>
      <c r="P14" s="32">
        <v>47</v>
      </c>
      <c r="Q14" s="32">
        <v>9</v>
      </c>
      <c r="R14" s="32">
        <v>60</v>
      </c>
    </row>
    <row r="15" spans="1:18" x14ac:dyDescent="0.25">
      <c r="A15" s="21">
        <v>5</v>
      </c>
      <c r="B15" s="19">
        <v>2500</v>
      </c>
      <c r="C15" s="11">
        <v>7.04</v>
      </c>
      <c r="D15" s="12">
        <v>-3.3</v>
      </c>
      <c r="E15" s="13">
        <v>2.48</v>
      </c>
      <c r="F15" s="14">
        <v>399.2</v>
      </c>
      <c r="G15" s="15">
        <v>50999</v>
      </c>
      <c r="H15" s="16">
        <v>31.5</v>
      </c>
      <c r="I15" s="17">
        <v>18</v>
      </c>
      <c r="J15" s="33">
        <f t="shared" si="1"/>
        <v>998</v>
      </c>
      <c r="K15" s="28">
        <v>38</v>
      </c>
      <c r="L15" s="31">
        <v>46</v>
      </c>
      <c r="M15" s="32">
        <v>50</v>
      </c>
      <c r="N15" s="34">
        <f>O15*3</f>
        <v>1452.746609955954</v>
      </c>
      <c r="O15" s="34">
        <v>484.24886998531798</v>
      </c>
      <c r="P15" s="32">
        <v>41</v>
      </c>
      <c r="Q15" s="32">
        <v>8</v>
      </c>
      <c r="R15" s="32">
        <v>62</v>
      </c>
    </row>
    <row r="16" spans="1:18" x14ac:dyDescent="0.25">
      <c r="A16" s="21">
        <v>12</v>
      </c>
      <c r="B16" s="19">
        <v>2408</v>
      </c>
      <c r="C16" s="11">
        <v>7.03</v>
      </c>
      <c r="D16" s="12">
        <v>0.55000000000000004</v>
      </c>
      <c r="E16" s="13">
        <v>2.4700000000000002</v>
      </c>
      <c r="F16" s="14">
        <v>581.09</v>
      </c>
      <c r="G16" s="15">
        <v>41245</v>
      </c>
      <c r="H16" s="16">
        <v>32.200000000000003</v>
      </c>
      <c r="I16" s="17">
        <v>23</v>
      </c>
      <c r="J16" s="33">
        <f t="shared" si="1"/>
        <v>1399.2647199999999</v>
      </c>
      <c r="K16" s="28">
        <v>41</v>
      </c>
      <c r="L16" s="31">
        <v>46</v>
      </c>
      <c r="M16" s="32">
        <v>48</v>
      </c>
      <c r="N16" s="34">
        <f t="shared" ref="N16:N36" si="2">O16*3</f>
        <v>534.86804899379695</v>
      </c>
      <c r="O16" s="34">
        <v>178.289349664599</v>
      </c>
      <c r="P16" s="32">
        <v>38</v>
      </c>
      <c r="Q16" s="32">
        <v>8</v>
      </c>
      <c r="R16" s="32">
        <v>60</v>
      </c>
    </row>
    <row r="17" spans="1:18" x14ac:dyDescent="0.25">
      <c r="A17" s="21">
        <v>51</v>
      </c>
      <c r="B17" s="19">
        <v>2741</v>
      </c>
      <c r="C17" s="11">
        <v>6.71</v>
      </c>
      <c r="D17" s="12">
        <v>9.4700000000000006</v>
      </c>
      <c r="E17" s="13">
        <v>2.41</v>
      </c>
      <c r="F17" s="14">
        <v>414.36</v>
      </c>
      <c r="G17" s="15">
        <v>77449</v>
      </c>
      <c r="H17" s="16">
        <v>37</v>
      </c>
      <c r="I17" s="17">
        <v>34</v>
      </c>
      <c r="J17" s="33">
        <f t="shared" si="1"/>
        <v>1135.7607600000001</v>
      </c>
      <c r="K17" s="28">
        <v>36</v>
      </c>
      <c r="L17" s="31">
        <v>45</v>
      </c>
      <c r="M17" s="32">
        <v>44</v>
      </c>
      <c r="N17" s="34">
        <f t="shared" si="2"/>
        <v>534.86804899379695</v>
      </c>
      <c r="O17" s="34">
        <v>178.289349664599</v>
      </c>
      <c r="P17" s="32">
        <v>35</v>
      </c>
      <c r="Q17" s="32">
        <v>8</v>
      </c>
      <c r="R17" s="32">
        <v>57</v>
      </c>
    </row>
    <row r="18" spans="1:18" x14ac:dyDescent="0.25">
      <c r="A18" s="21">
        <v>70</v>
      </c>
      <c r="B18" s="19">
        <v>2000</v>
      </c>
      <c r="C18" s="11">
        <v>6.93</v>
      </c>
      <c r="D18" s="12">
        <v>17.23</v>
      </c>
      <c r="E18" s="13">
        <v>2.41</v>
      </c>
      <c r="F18" s="14">
        <v>403.78</v>
      </c>
      <c r="G18" s="15">
        <v>67403</v>
      </c>
      <c r="H18" s="16">
        <v>36.200000000000003</v>
      </c>
      <c r="I18" s="17">
        <v>19</v>
      </c>
      <c r="J18" s="33">
        <f t="shared" si="1"/>
        <v>807.56</v>
      </c>
      <c r="K18" s="28">
        <v>40</v>
      </c>
      <c r="L18" s="31">
        <v>42</v>
      </c>
      <c r="M18" s="32">
        <v>45</v>
      </c>
      <c r="N18" s="34">
        <f t="shared" si="2"/>
        <v>523.69743896610896</v>
      </c>
      <c r="O18" s="34">
        <v>174.56581298870299</v>
      </c>
      <c r="P18" s="32">
        <v>32</v>
      </c>
      <c r="Q18" s="32">
        <v>7</v>
      </c>
      <c r="R18" s="32">
        <v>55</v>
      </c>
    </row>
    <row r="19" spans="1:18" x14ac:dyDescent="0.25">
      <c r="A19" s="21">
        <v>43</v>
      </c>
      <c r="B19" s="19">
        <v>2629</v>
      </c>
      <c r="C19" s="11">
        <v>6.9</v>
      </c>
      <c r="D19" s="12">
        <v>8.27</v>
      </c>
      <c r="E19" s="13">
        <v>2.37</v>
      </c>
      <c r="F19" s="14">
        <v>398.12</v>
      </c>
      <c r="G19" s="15">
        <v>77115</v>
      </c>
      <c r="H19" s="16">
        <v>35.9</v>
      </c>
      <c r="I19" s="17">
        <v>30</v>
      </c>
      <c r="J19" s="33">
        <f t="shared" si="1"/>
        <v>1046.6574800000001</v>
      </c>
      <c r="K19" s="28">
        <v>27</v>
      </c>
      <c r="L19" s="31">
        <v>42</v>
      </c>
      <c r="M19" s="32">
        <v>40</v>
      </c>
      <c r="N19" s="34">
        <f t="shared" si="2"/>
        <v>571.71710083748098</v>
      </c>
      <c r="O19" s="34">
        <v>190.57236694582701</v>
      </c>
      <c r="P19" s="32">
        <v>34</v>
      </c>
      <c r="Q19" s="32">
        <v>7</v>
      </c>
      <c r="R19" s="32">
        <v>52</v>
      </c>
    </row>
    <row r="20" spans="1:18" x14ac:dyDescent="0.25">
      <c r="A20" s="21">
        <v>8</v>
      </c>
      <c r="B20" s="19">
        <v>2400</v>
      </c>
      <c r="C20" s="11">
        <v>7.13</v>
      </c>
      <c r="D20" s="12">
        <v>-0.37</v>
      </c>
      <c r="E20" s="13">
        <v>2.34</v>
      </c>
      <c r="F20" s="14">
        <v>642.25</v>
      </c>
      <c r="G20" s="15">
        <v>50975</v>
      </c>
      <c r="H20" s="16">
        <v>37.6</v>
      </c>
      <c r="I20" s="17">
        <v>33</v>
      </c>
      <c r="J20" s="33">
        <f t="shared" si="1"/>
        <v>1541.4</v>
      </c>
      <c r="K20" s="28">
        <v>25</v>
      </c>
      <c r="L20" s="31">
        <v>39</v>
      </c>
      <c r="M20" s="32">
        <v>44</v>
      </c>
      <c r="N20" s="34">
        <f t="shared" si="2"/>
        <v>553.41690501325797</v>
      </c>
      <c r="O20" s="34">
        <v>184.472301671086</v>
      </c>
      <c r="P20" s="32">
        <v>34</v>
      </c>
      <c r="Q20" s="32">
        <v>7</v>
      </c>
      <c r="R20" s="32">
        <v>50</v>
      </c>
    </row>
    <row r="21" spans="1:18" x14ac:dyDescent="0.25">
      <c r="A21" s="21">
        <v>10</v>
      </c>
      <c r="B21" s="19">
        <v>1990</v>
      </c>
      <c r="C21" s="11">
        <v>6.77</v>
      </c>
      <c r="D21" s="12">
        <v>-0.17</v>
      </c>
      <c r="E21" s="13">
        <v>2.34</v>
      </c>
      <c r="F21" s="14">
        <v>638.82000000000005</v>
      </c>
      <c r="G21" s="15">
        <v>79070</v>
      </c>
      <c r="H21" s="16">
        <v>34.799999999999997</v>
      </c>
      <c r="I21" s="17">
        <v>29</v>
      </c>
      <c r="J21" s="33">
        <f t="shared" si="1"/>
        <v>1271.2518</v>
      </c>
      <c r="K21" s="28">
        <v>25</v>
      </c>
      <c r="L21" s="31">
        <v>40</v>
      </c>
      <c r="M21" s="32">
        <v>41</v>
      </c>
      <c r="N21" s="34">
        <f t="shared" si="2"/>
        <v>626.41589986868098</v>
      </c>
      <c r="O21" s="34">
        <v>208.805299956227</v>
      </c>
      <c r="P21" s="32">
        <v>31</v>
      </c>
      <c r="Q21" s="32">
        <v>8</v>
      </c>
      <c r="R21" s="32">
        <v>51</v>
      </c>
    </row>
    <row r="22" spans="1:18" x14ac:dyDescent="0.25">
      <c r="A22" s="21">
        <v>7</v>
      </c>
      <c r="B22" s="19">
        <v>2250</v>
      </c>
      <c r="C22" s="11">
        <v>7.11</v>
      </c>
      <c r="D22" s="12">
        <v>-0.77</v>
      </c>
      <c r="E22" s="13">
        <v>2.2799999999999998</v>
      </c>
      <c r="F22" s="14">
        <v>571.59</v>
      </c>
      <c r="G22" s="15">
        <v>44196</v>
      </c>
      <c r="H22" s="16">
        <v>35.1</v>
      </c>
      <c r="I22" s="17">
        <v>14</v>
      </c>
      <c r="J22" s="33">
        <f t="shared" si="1"/>
        <v>1286.0775000000001</v>
      </c>
      <c r="K22" s="28">
        <v>34</v>
      </c>
      <c r="L22" s="31">
        <v>37</v>
      </c>
      <c r="M22" s="32">
        <v>43</v>
      </c>
      <c r="N22" s="34">
        <f t="shared" si="2"/>
        <v>907.28164273234199</v>
      </c>
      <c r="O22" s="34">
        <v>302.427214244114</v>
      </c>
      <c r="P22" s="32">
        <v>31</v>
      </c>
      <c r="Q22" s="32">
        <v>8</v>
      </c>
      <c r="R22" s="32">
        <v>56</v>
      </c>
    </row>
    <row r="23" spans="1:18" x14ac:dyDescent="0.25">
      <c r="A23" s="21">
        <v>40</v>
      </c>
      <c r="B23" s="19">
        <v>2800</v>
      </c>
      <c r="C23" s="11">
        <v>6.76</v>
      </c>
      <c r="D23" s="12">
        <v>7.67</v>
      </c>
      <c r="E23" s="13">
        <v>2.23</v>
      </c>
      <c r="F23" s="14">
        <v>468.84</v>
      </c>
      <c r="G23" s="15">
        <v>75151</v>
      </c>
      <c r="H23" s="16">
        <v>33.9</v>
      </c>
      <c r="I23" s="17">
        <v>28</v>
      </c>
      <c r="J23" s="33">
        <f t="shared" si="1"/>
        <v>1312.752</v>
      </c>
      <c r="K23" s="28">
        <v>25</v>
      </c>
      <c r="L23" s="31">
        <v>41</v>
      </c>
      <c r="M23" s="32">
        <v>42</v>
      </c>
      <c r="N23" s="34">
        <f t="shared" si="2"/>
        <v>937.38722231313307</v>
      </c>
      <c r="O23" s="34">
        <v>312.46240743771102</v>
      </c>
      <c r="P23" s="32">
        <v>30</v>
      </c>
      <c r="Q23" s="32">
        <v>8</v>
      </c>
      <c r="R23" s="32">
        <v>56</v>
      </c>
    </row>
    <row r="24" spans="1:18" x14ac:dyDescent="0.25">
      <c r="A24" s="21">
        <v>17</v>
      </c>
      <c r="B24" s="19">
        <v>2668</v>
      </c>
      <c r="C24" s="11">
        <v>7.35</v>
      </c>
      <c r="D24" s="12">
        <v>2.84</v>
      </c>
      <c r="E24" s="13">
        <v>2.2200000000000002</v>
      </c>
      <c r="F24" s="14">
        <v>351.47</v>
      </c>
      <c r="G24" s="15">
        <v>79312</v>
      </c>
      <c r="H24" s="16">
        <v>32.1</v>
      </c>
      <c r="I24" s="17">
        <v>37</v>
      </c>
      <c r="J24" s="33">
        <f t="shared" si="1"/>
        <v>937.72196000000008</v>
      </c>
      <c r="K24" s="28">
        <v>35</v>
      </c>
      <c r="L24" s="31">
        <v>41</v>
      </c>
      <c r="M24" s="32">
        <v>42</v>
      </c>
      <c r="N24" s="34">
        <f t="shared" si="2"/>
        <v>466.50581518892398</v>
      </c>
      <c r="O24" s="34">
        <v>155.50193839630799</v>
      </c>
      <c r="P24" s="32">
        <v>27</v>
      </c>
      <c r="Q24" s="32">
        <v>7</v>
      </c>
      <c r="R24" s="32">
        <v>54</v>
      </c>
    </row>
    <row r="25" spans="1:18" x14ac:dyDescent="0.25">
      <c r="A25" s="21">
        <v>68</v>
      </c>
      <c r="B25" s="19">
        <v>2718</v>
      </c>
      <c r="C25" s="11">
        <v>7.25</v>
      </c>
      <c r="D25" s="12">
        <v>15.42</v>
      </c>
      <c r="E25" s="13">
        <v>2.2200000000000002</v>
      </c>
      <c r="F25" s="14">
        <v>361.14</v>
      </c>
      <c r="G25" s="15">
        <v>39650</v>
      </c>
      <c r="H25" s="16">
        <v>32.9</v>
      </c>
      <c r="I25" s="17">
        <v>18</v>
      </c>
      <c r="J25" s="33">
        <f t="shared" si="1"/>
        <v>981.57852000000003</v>
      </c>
      <c r="K25" s="28">
        <v>35</v>
      </c>
      <c r="L25" s="31">
        <v>43</v>
      </c>
      <c r="M25" s="32">
        <v>45</v>
      </c>
      <c r="N25" s="34">
        <f t="shared" si="2"/>
        <v>571.33192367708102</v>
      </c>
      <c r="O25" s="34">
        <v>190.443974559027</v>
      </c>
      <c r="P25" s="32">
        <v>27</v>
      </c>
      <c r="Q25" s="32">
        <v>7</v>
      </c>
      <c r="R25" s="32">
        <v>49</v>
      </c>
    </row>
    <row r="26" spans="1:18" x14ac:dyDescent="0.25">
      <c r="A26" s="21">
        <v>9</v>
      </c>
      <c r="B26" s="19">
        <v>2709</v>
      </c>
      <c r="C26" s="11">
        <v>6.58</v>
      </c>
      <c r="D26" s="12">
        <v>-0.25</v>
      </c>
      <c r="E26" s="13">
        <v>2.2000000000000002</v>
      </c>
      <c r="F26" s="14">
        <v>461.45</v>
      </c>
      <c r="G26" s="15">
        <v>72808</v>
      </c>
      <c r="H26" s="16">
        <v>34.9</v>
      </c>
      <c r="I26" s="17">
        <v>28</v>
      </c>
      <c r="J26" s="33">
        <f t="shared" si="1"/>
        <v>1250.0680500000001</v>
      </c>
      <c r="K26" s="28">
        <v>27</v>
      </c>
      <c r="L26" s="31">
        <v>43</v>
      </c>
      <c r="M26" s="32">
        <v>40</v>
      </c>
      <c r="N26" s="34">
        <f t="shared" si="2"/>
        <v>1172.993592461931</v>
      </c>
      <c r="O26" s="34">
        <v>390.99786415397699</v>
      </c>
      <c r="P26" s="32">
        <v>26</v>
      </c>
      <c r="Q26" s="32">
        <v>8</v>
      </c>
      <c r="R26" s="32">
        <v>53</v>
      </c>
    </row>
    <row r="27" spans="1:18" x14ac:dyDescent="0.25">
      <c r="A27" s="21">
        <v>45</v>
      </c>
      <c r="B27" s="19">
        <v>2335</v>
      </c>
      <c r="C27" s="11">
        <v>6.75</v>
      </c>
      <c r="D27" s="12">
        <v>8.58</v>
      </c>
      <c r="E27" s="13">
        <v>2.19</v>
      </c>
      <c r="F27" s="14">
        <v>452.16</v>
      </c>
      <c r="G27" s="15">
        <v>32929</v>
      </c>
      <c r="H27" s="16">
        <v>30.9</v>
      </c>
      <c r="I27" s="17">
        <v>22</v>
      </c>
      <c r="J27" s="33">
        <f t="shared" si="1"/>
        <v>1055.7936000000002</v>
      </c>
      <c r="K27" s="28">
        <v>25</v>
      </c>
      <c r="L27" s="31">
        <v>42</v>
      </c>
      <c r="M27" s="32">
        <v>41</v>
      </c>
      <c r="N27" s="34">
        <f t="shared" si="2"/>
        <v>593.460008423913</v>
      </c>
      <c r="O27" s="34">
        <v>197.82000280797101</v>
      </c>
      <c r="P27" s="32">
        <v>23</v>
      </c>
      <c r="Q27" s="32">
        <v>8</v>
      </c>
      <c r="R27" s="32">
        <v>52</v>
      </c>
    </row>
    <row r="28" spans="1:18" x14ac:dyDescent="0.25">
      <c r="A28" s="21">
        <v>57</v>
      </c>
      <c r="B28" s="19">
        <v>2500</v>
      </c>
      <c r="C28" s="11">
        <v>6.76</v>
      </c>
      <c r="D28" s="12">
        <v>11.51</v>
      </c>
      <c r="E28" s="13">
        <v>2.19</v>
      </c>
      <c r="F28" s="14">
        <v>517.4</v>
      </c>
      <c r="G28" s="15">
        <v>76375</v>
      </c>
      <c r="H28" s="16">
        <v>36.700000000000003</v>
      </c>
      <c r="I28" s="17">
        <v>28</v>
      </c>
      <c r="J28" s="33">
        <f t="shared" si="1"/>
        <v>1293.5</v>
      </c>
      <c r="K28" s="28">
        <v>24</v>
      </c>
      <c r="L28" s="31">
        <v>36</v>
      </c>
      <c r="M28" s="32">
        <v>38</v>
      </c>
      <c r="N28" s="34">
        <f t="shared" si="2"/>
        <v>542.69308934181902</v>
      </c>
      <c r="O28" s="34">
        <v>180.89769644727301</v>
      </c>
      <c r="P28" s="32">
        <v>23</v>
      </c>
      <c r="Q28" s="32">
        <v>8</v>
      </c>
      <c r="R28" s="32">
        <v>52</v>
      </c>
    </row>
    <row r="29" spans="1:18" x14ac:dyDescent="0.25">
      <c r="A29" s="21">
        <v>20</v>
      </c>
      <c r="B29" s="19">
        <v>2998</v>
      </c>
      <c r="C29" s="11">
        <v>6.85</v>
      </c>
      <c r="D29" s="12">
        <v>4.04</v>
      </c>
      <c r="E29" s="13">
        <v>2.17</v>
      </c>
      <c r="F29" s="14">
        <v>357.45</v>
      </c>
      <c r="G29" s="15">
        <v>70024</v>
      </c>
      <c r="H29" s="16">
        <v>33.9</v>
      </c>
      <c r="I29" s="17">
        <v>34</v>
      </c>
      <c r="J29" s="33">
        <f t="shared" si="1"/>
        <v>1071.6351</v>
      </c>
      <c r="K29" s="28">
        <v>27</v>
      </c>
      <c r="L29" s="31">
        <v>35</v>
      </c>
      <c r="M29" s="32">
        <v>40</v>
      </c>
      <c r="N29" s="34">
        <f t="shared" si="2"/>
        <v>1019.156766618837</v>
      </c>
      <c r="O29" s="34">
        <v>339.71892220627899</v>
      </c>
      <c r="P29" s="32">
        <v>20</v>
      </c>
      <c r="Q29" s="32">
        <v>8</v>
      </c>
      <c r="R29" s="32">
        <v>50</v>
      </c>
    </row>
    <row r="30" spans="1:18" x14ac:dyDescent="0.25">
      <c r="A30" s="21">
        <v>52</v>
      </c>
      <c r="B30" s="19">
        <v>2500</v>
      </c>
      <c r="C30" s="11">
        <v>6.82</v>
      </c>
      <c r="D30" s="12">
        <v>10.17</v>
      </c>
      <c r="E30" s="13">
        <v>2.17</v>
      </c>
      <c r="F30" s="14">
        <v>481.11</v>
      </c>
      <c r="G30" s="15">
        <v>56822</v>
      </c>
      <c r="H30" s="16">
        <v>34.700000000000003</v>
      </c>
      <c r="I30" s="17">
        <v>25</v>
      </c>
      <c r="J30" s="33">
        <f t="shared" si="1"/>
        <v>1202.7750000000001</v>
      </c>
      <c r="K30" s="28">
        <v>30</v>
      </c>
      <c r="L30" s="31">
        <v>37</v>
      </c>
      <c r="M30" s="32">
        <v>45</v>
      </c>
      <c r="N30" s="34">
        <f t="shared" si="2"/>
        <v>315.34999363929603</v>
      </c>
      <c r="O30" s="34">
        <v>105.11666454643201</v>
      </c>
      <c r="P30" s="32">
        <v>24</v>
      </c>
      <c r="Q30" s="32">
        <v>7</v>
      </c>
      <c r="R30" s="32">
        <v>51</v>
      </c>
    </row>
    <row r="31" spans="1:18" x14ac:dyDescent="0.25">
      <c r="A31" s="21">
        <v>53</v>
      </c>
      <c r="B31" s="19">
        <v>2450</v>
      </c>
      <c r="C31" s="11">
        <v>6.58</v>
      </c>
      <c r="D31" s="12">
        <v>10.66</v>
      </c>
      <c r="E31" s="13">
        <v>2.16</v>
      </c>
      <c r="F31" s="14">
        <v>538.05999999999995</v>
      </c>
      <c r="G31" s="15">
        <v>80470</v>
      </c>
      <c r="H31" s="16">
        <v>36.4</v>
      </c>
      <c r="I31" s="17">
        <v>30</v>
      </c>
      <c r="J31" s="33">
        <f t="shared" si="1"/>
        <v>1318.2469999999998</v>
      </c>
      <c r="K31" s="28">
        <v>32</v>
      </c>
      <c r="L31" s="31">
        <v>46</v>
      </c>
      <c r="M31" s="32">
        <v>43</v>
      </c>
      <c r="N31" s="34">
        <f t="shared" si="2"/>
        <v>761.51030074732796</v>
      </c>
      <c r="O31" s="34">
        <v>253.836766915776</v>
      </c>
      <c r="P31" s="32">
        <v>20</v>
      </c>
      <c r="Q31" s="32">
        <v>7</v>
      </c>
      <c r="R31" s="32">
        <v>48</v>
      </c>
    </row>
    <row r="32" spans="1:18" x14ac:dyDescent="0.25">
      <c r="A32" s="21">
        <v>59</v>
      </c>
      <c r="B32" s="19">
        <v>2800</v>
      </c>
      <c r="C32" s="11">
        <v>6.73</v>
      </c>
      <c r="D32" s="12">
        <v>11.83</v>
      </c>
      <c r="E32" s="13">
        <v>2.16</v>
      </c>
      <c r="F32" s="14">
        <v>386.81</v>
      </c>
      <c r="G32" s="15">
        <v>61312</v>
      </c>
      <c r="H32" s="16">
        <v>34.200000000000003</v>
      </c>
      <c r="I32" s="17">
        <v>16</v>
      </c>
      <c r="J32" s="33">
        <f t="shared" si="1"/>
        <v>1083.068</v>
      </c>
      <c r="K32" s="28">
        <v>25</v>
      </c>
      <c r="L32" s="31">
        <v>45</v>
      </c>
      <c r="M32" s="32">
        <v>42</v>
      </c>
      <c r="N32" s="34">
        <f t="shared" si="2"/>
        <v>1444.271330256558</v>
      </c>
      <c r="O32" s="34">
        <v>481.42377675218597</v>
      </c>
      <c r="P32" s="32">
        <v>20</v>
      </c>
      <c r="Q32" s="32">
        <v>8</v>
      </c>
      <c r="R32" s="32">
        <v>48</v>
      </c>
    </row>
    <row r="33" spans="1:18" x14ac:dyDescent="0.25">
      <c r="A33" s="21">
        <v>41</v>
      </c>
      <c r="B33" s="19">
        <v>2520</v>
      </c>
      <c r="C33" s="11">
        <v>7.11</v>
      </c>
      <c r="D33" s="12">
        <v>7.91</v>
      </c>
      <c r="E33" s="13">
        <v>2.15</v>
      </c>
      <c r="F33" s="14">
        <v>352.57</v>
      </c>
      <c r="G33" s="15">
        <v>93876</v>
      </c>
      <c r="H33" s="16">
        <v>35</v>
      </c>
      <c r="I33" s="17">
        <v>40</v>
      </c>
      <c r="J33" s="33">
        <f t="shared" si="1"/>
        <v>888.47640000000001</v>
      </c>
      <c r="K33" s="28">
        <v>24</v>
      </c>
      <c r="L33" s="31">
        <v>45</v>
      </c>
      <c r="M33" s="32">
        <v>45</v>
      </c>
      <c r="N33" s="34">
        <f t="shared" si="2"/>
        <v>1390.6113203500649</v>
      </c>
      <c r="O33" s="34">
        <v>463.537106783355</v>
      </c>
      <c r="P33" s="32">
        <v>24</v>
      </c>
      <c r="Q33" s="32">
        <v>8</v>
      </c>
      <c r="R33" s="32">
        <v>45</v>
      </c>
    </row>
    <row r="34" spans="1:18" x14ac:dyDescent="0.25">
      <c r="A34" s="21">
        <v>66</v>
      </c>
      <c r="B34" s="19">
        <v>2500</v>
      </c>
      <c r="C34" s="11">
        <v>6.95</v>
      </c>
      <c r="D34" s="12">
        <v>14.6</v>
      </c>
      <c r="E34" s="13">
        <v>2.14</v>
      </c>
      <c r="F34" s="14">
        <v>348.47</v>
      </c>
      <c r="G34" s="15">
        <v>42631</v>
      </c>
      <c r="H34" s="16">
        <v>24.7</v>
      </c>
      <c r="I34" s="17">
        <v>25</v>
      </c>
      <c r="J34" s="33">
        <f t="shared" si="1"/>
        <v>871.17500000000007</v>
      </c>
      <c r="K34" s="28">
        <v>33</v>
      </c>
      <c r="L34" s="31">
        <v>43</v>
      </c>
      <c r="M34" s="32">
        <v>45</v>
      </c>
      <c r="N34" s="34">
        <f t="shared" si="2"/>
        <v>1280.8634736232921</v>
      </c>
      <c r="O34" s="34">
        <v>426.95449120776402</v>
      </c>
      <c r="P34" s="32">
        <v>25</v>
      </c>
      <c r="Q34" s="32">
        <v>7</v>
      </c>
      <c r="R34" s="32">
        <v>46</v>
      </c>
    </row>
    <row r="35" spans="1:18" x14ac:dyDescent="0.25">
      <c r="A35" s="21">
        <v>24</v>
      </c>
      <c r="B35" s="19">
        <v>2764</v>
      </c>
      <c r="C35" s="11">
        <v>7.07</v>
      </c>
      <c r="D35" s="12">
        <v>4.58</v>
      </c>
      <c r="E35" s="13">
        <v>2.13</v>
      </c>
      <c r="F35" s="14">
        <v>303.95</v>
      </c>
      <c r="G35" s="15">
        <v>46593</v>
      </c>
      <c r="H35" s="16">
        <v>37.9</v>
      </c>
      <c r="I35" s="17">
        <v>26</v>
      </c>
      <c r="J35" s="33">
        <f t="shared" si="1"/>
        <v>840.11779999999987</v>
      </c>
      <c r="K35" s="28">
        <v>25</v>
      </c>
      <c r="L35" s="31">
        <v>43</v>
      </c>
      <c r="M35" s="32">
        <v>40</v>
      </c>
      <c r="N35" s="34">
        <f t="shared" si="2"/>
        <v>1258.3632138303569</v>
      </c>
      <c r="O35" s="34">
        <v>419.45440461011901</v>
      </c>
      <c r="P35" s="32">
        <v>26</v>
      </c>
      <c r="Q35" s="32">
        <v>8</v>
      </c>
      <c r="R35" s="32">
        <v>46</v>
      </c>
    </row>
    <row r="36" spans="1:18" x14ac:dyDescent="0.25">
      <c r="A36" s="21">
        <v>31</v>
      </c>
      <c r="B36" s="19">
        <v>3653</v>
      </c>
      <c r="C36" s="11">
        <v>6.84</v>
      </c>
      <c r="D36" s="12">
        <v>6.08</v>
      </c>
      <c r="E36" s="13">
        <v>2.13</v>
      </c>
      <c r="F36" s="14">
        <v>413.08</v>
      </c>
      <c r="G36" s="15">
        <v>49956</v>
      </c>
      <c r="H36" s="16">
        <v>37.1</v>
      </c>
      <c r="I36" s="17">
        <v>28</v>
      </c>
      <c r="J36" s="33">
        <f t="shared" si="1"/>
        <v>1508.9812400000001</v>
      </c>
      <c r="K36" s="28">
        <v>27</v>
      </c>
      <c r="L36" s="31">
        <v>41</v>
      </c>
      <c r="M36" s="32">
        <v>46</v>
      </c>
      <c r="N36" s="34">
        <f t="shared" si="2"/>
        <v>1126.174397070027</v>
      </c>
      <c r="O36" s="34">
        <v>375.391465690009</v>
      </c>
      <c r="P36" s="32">
        <v>24</v>
      </c>
      <c r="Q36" s="32">
        <v>8</v>
      </c>
      <c r="R36" s="32">
        <v>47</v>
      </c>
    </row>
    <row r="37" spans="1:18" x14ac:dyDescent="0.25">
      <c r="A37" s="21">
        <v>60</v>
      </c>
      <c r="B37" s="19">
        <v>2986</v>
      </c>
      <c r="C37" s="11">
        <v>6.91</v>
      </c>
      <c r="D37" s="12">
        <v>11.95</v>
      </c>
      <c r="E37" s="13">
        <v>2.1</v>
      </c>
      <c r="F37" s="14">
        <v>427.5</v>
      </c>
      <c r="G37" s="15">
        <v>72040</v>
      </c>
      <c r="H37" s="16">
        <v>39</v>
      </c>
      <c r="I37" s="17">
        <v>31</v>
      </c>
      <c r="J37" s="33">
        <f t="shared" si="1"/>
        <v>1276.5150000000001</v>
      </c>
      <c r="K37" s="28">
        <v>26</v>
      </c>
      <c r="L37" s="31">
        <v>45</v>
      </c>
      <c r="M37" s="32">
        <v>43</v>
      </c>
      <c r="N37" s="34">
        <f>O37*3</f>
        <v>836.14634890481398</v>
      </c>
      <c r="O37" s="34">
        <v>278.71544963493801</v>
      </c>
      <c r="P37" s="32">
        <v>21</v>
      </c>
      <c r="Q37" s="32">
        <v>7</v>
      </c>
      <c r="R37" s="32">
        <v>45</v>
      </c>
    </row>
    <row r="38" spans="1:18" x14ac:dyDescent="0.25">
      <c r="A38" s="21">
        <v>11</v>
      </c>
      <c r="B38" s="19">
        <v>2392</v>
      </c>
      <c r="C38" s="11">
        <v>6.66</v>
      </c>
      <c r="D38" s="12">
        <v>0.47</v>
      </c>
      <c r="E38" s="13">
        <v>2.09</v>
      </c>
      <c r="F38" s="14">
        <v>484.38</v>
      </c>
      <c r="G38" s="15">
        <v>78497</v>
      </c>
      <c r="H38" s="16">
        <v>36.200000000000003</v>
      </c>
      <c r="I38" s="17">
        <v>39</v>
      </c>
      <c r="J38" s="33">
        <f t="shared" si="1"/>
        <v>1158.63696</v>
      </c>
      <c r="K38" s="28">
        <v>32</v>
      </c>
      <c r="L38" s="31">
        <v>43</v>
      </c>
      <c r="M38" s="32">
        <v>44</v>
      </c>
      <c r="N38" s="34">
        <f t="shared" ref="N38:N46" si="3">O38*3</f>
        <v>722.65685960741996</v>
      </c>
      <c r="O38" s="34">
        <v>240.88561986913999</v>
      </c>
      <c r="P38" s="32">
        <v>21</v>
      </c>
      <c r="Q38" s="32">
        <v>7</v>
      </c>
      <c r="R38" s="32">
        <v>45</v>
      </c>
    </row>
    <row r="39" spans="1:18" x14ac:dyDescent="0.25">
      <c r="A39" s="21">
        <v>32</v>
      </c>
      <c r="B39" s="19">
        <v>2440</v>
      </c>
      <c r="C39" s="11">
        <v>6.94</v>
      </c>
      <c r="D39" s="12">
        <v>6.08</v>
      </c>
      <c r="E39" s="13">
        <v>2.08</v>
      </c>
      <c r="F39" s="14">
        <v>625.22</v>
      </c>
      <c r="G39" s="15">
        <v>45990</v>
      </c>
      <c r="H39" s="16">
        <v>30.3</v>
      </c>
      <c r="I39" s="17">
        <v>36</v>
      </c>
      <c r="J39" s="33">
        <f t="shared" si="1"/>
        <v>1525.5368000000001</v>
      </c>
      <c r="K39" s="28">
        <v>24</v>
      </c>
      <c r="L39" s="31">
        <v>44</v>
      </c>
      <c r="M39" s="32">
        <v>45</v>
      </c>
      <c r="N39" s="34">
        <f t="shared" si="3"/>
        <v>576.66408113565296</v>
      </c>
      <c r="O39" s="34">
        <v>192.221360378551</v>
      </c>
      <c r="P39" s="32">
        <v>22</v>
      </c>
      <c r="Q39" s="32">
        <v>8</v>
      </c>
      <c r="R39" s="32">
        <v>43</v>
      </c>
    </row>
    <row r="40" spans="1:18" x14ac:dyDescent="0.25">
      <c r="A40" s="21">
        <v>1</v>
      </c>
      <c r="B40" s="19">
        <v>2354</v>
      </c>
      <c r="C40" s="11">
        <v>6.81</v>
      </c>
      <c r="D40" s="12">
        <v>-8.31</v>
      </c>
      <c r="E40" s="13">
        <v>2.0699999999999998</v>
      </c>
      <c r="F40" s="14">
        <v>701.97</v>
      </c>
      <c r="G40" s="15">
        <v>45177</v>
      </c>
      <c r="H40" s="16">
        <v>34.4</v>
      </c>
      <c r="I40" s="17">
        <v>31</v>
      </c>
      <c r="J40" s="33">
        <f t="shared" si="1"/>
        <v>1652.4373800000001</v>
      </c>
      <c r="K40" s="26">
        <v>20</v>
      </c>
      <c r="L40" s="31">
        <v>42</v>
      </c>
      <c r="M40" s="32">
        <v>42</v>
      </c>
      <c r="N40" s="34">
        <f t="shared" si="3"/>
        <v>336.01936957047599</v>
      </c>
      <c r="O40" s="34">
        <v>112.00645652349201</v>
      </c>
      <c r="P40" s="32">
        <v>20</v>
      </c>
      <c r="Q40" s="32">
        <v>7</v>
      </c>
      <c r="R40" s="32">
        <v>42</v>
      </c>
    </row>
    <row r="41" spans="1:18" x14ac:dyDescent="0.25">
      <c r="A41" s="21">
        <v>18</v>
      </c>
      <c r="B41" s="19">
        <v>2517</v>
      </c>
      <c r="C41" s="11">
        <v>6.95</v>
      </c>
      <c r="D41" s="12">
        <v>2.88</v>
      </c>
      <c r="E41" s="13">
        <v>2.0699999999999998</v>
      </c>
      <c r="F41" s="14">
        <v>458.24</v>
      </c>
      <c r="G41" s="15">
        <v>37345</v>
      </c>
      <c r="H41" s="16">
        <v>31.4</v>
      </c>
      <c r="I41" s="17">
        <v>22</v>
      </c>
      <c r="J41" s="33">
        <f t="shared" si="1"/>
        <v>1153.3900800000001</v>
      </c>
      <c r="K41" s="28">
        <v>32</v>
      </c>
      <c r="L41" s="31">
        <v>40</v>
      </c>
      <c r="M41" s="32">
        <v>44</v>
      </c>
      <c r="N41" s="34">
        <f t="shared" si="3"/>
        <v>596.94057024179392</v>
      </c>
      <c r="O41" s="34">
        <v>198.98019008059799</v>
      </c>
      <c r="P41" s="32">
        <v>19</v>
      </c>
      <c r="Q41" s="32">
        <v>8</v>
      </c>
      <c r="R41" s="32">
        <v>42</v>
      </c>
    </row>
    <row r="42" spans="1:18" x14ac:dyDescent="0.25">
      <c r="A42" s="21">
        <v>4</v>
      </c>
      <c r="B42" s="19">
        <v>2340</v>
      </c>
      <c r="C42" s="11">
        <v>7.13</v>
      </c>
      <c r="D42" s="12">
        <v>-3.39</v>
      </c>
      <c r="E42" s="13">
        <v>2.06</v>
      </c>
      <c r="F42" s="14">
        <v>443.04</v>
      </c>
      <c r="G42" s="15">
        <v>66081</v>
      </c>
      <c r="H42" s="16">
        <v>35.4</v>
      </c>
      <c r="I42" s="17">
        <v>29</v>
      </c>
      <c r="J42" s="33">
        <f t="shared" si="1"/>
        <v>1036.7136</v>
      </c>
      <c r="K42" s="28">
        <v>35</v>
      </c>
      <c r="L42" s="31">
        <v>38</v>
      </c>
      <c r="M42" s="32">
        <v>42</v>
      </c>
      <c r="N42" s="34">
        <f t="shared" si="3"/>
        <v>796.99525334535304</v>
      </c>
      <c r="O42" s="34">
        <v>265.66508444845101</v>
      </c>
      <c r="P42" s="32">
        <v>17</v>
      </c>
      <c r="Q42" s="32">
        <v>7</v>
      </c>
      <c r="R42" s="32">
        <v>41</v>
      </c>
    </row>
    <row r="43" spans="1:18" x14ac:dyDescent="0.25">
      <c r="A43" s="21">
        <v>30</v>
      </c>
      <c r="B43" s="19">
        <v>2500</v>
      </c>
      <c r="C43" s="11">
        <v>7.03</v>
      </c>
      <c r="D43" s="12">
        <v>5.98</v>
      </c>
      <c r="E43" s="13">
        <v>2.0499999999999998</v>
      </c>
      <c r="F43" s="14">
        <v>235.81</v>
      </c>
      <c r="G43" s="15">
        <v>48163</v>
      </c>
      <c r="H43" s="16">
        <v>26.4</v>
      </c>
      <c r="I43" s="17">
        <v>16</v>
      </c>
      <c r="J43" s="33">
        <f t="shared" si="1"/>
        <v>589.52499999999998</v>
      </c>
      <c r="K43" s="28">
        <v>26</v>
      </c>
      <c r="L43" s="31">
        <v>37</v>
      </c>
      <c r="M43" s="32">
        <v>40</v>
      </c>
      <c r="N43" s="34">
        <f t="shared" si="3"/>
        <v>1181.0993755871011</v>
      </c>
      <c r="O43" s="34">
        <v>393.69979186236702</v>
      </c>
      <c r="P43" s="32">
        <v>17</v>
      </c>
      <c r="Q43" s="32">
        <v>8</v>
      </c>
      <c r="R43" s="32">
        <v>41</v>
      </c>
    </row>
    <row r="44" spans="1:18" x14ac:dyDescent="0.25">
      <c r="A44" s="21">
        <v>13</v>
      </c>
      <c r="B44" s="19">
        <v>2627</v>
      </c>
      <c r="C44" s="11">
        <v>7.03</v>
      </c>
      <c r="D44" s="12">
        <v>0.77</v>
      </c>
      <c r="E44" s="13">
        <v>2.04</v>
      </c>
      <c r="F44" s="14">
        <v>267.70999999999998</v>
      </c>
      <c r="G44" s="15">
        <v>33003</v>
      </c>
      <c r="H44" s="16">
        <v>30.9</v>
      </c>
      <c r="I44" s="17">
        <v>22</v>
      </c>
      <c r="J44" s="33">
        <f t="shared" si="1"/>
        <v>703.27416999999991</v>
      </c>
      <c r="K44" s="28">
        <v>33</v>
      </c>
      <c r="L44" s="31">
        <v>36</v>
      </c>
      <c r="M44" s="32">
        <v>40</v>
      </c>
      <c r="N44" s="34">
        <f t="shared" si="3"/>
        <v>986.39662260263401</v>
      </c>
      <c r="O44" s="34">
        <v>328.798874200878</v>
      </c>
      <c r="P44" s="32">
        <v>20</v>
      </c>
      <c r="Q44" s="32">
        <v>8</v>
      </c>
      <c r="R44" s="32">
        <v>40</v>
      </c>
    </row>
    <row r="45" spans="1:18" x14ac:dyDescent="0.25">
      <c r="A45" s="21">
        <v>28</v>
      </c>
      <c r="B45" s="19">
        <v>2430</v>
      </c>
      <c r="C45" s="11">
        <v>6.91</v>
      </c>
      <c r="D45" s="12">
        <v>5.86</v>
      </c>
      <c r="E45" s="13">
        <v>2.04</v>
      </c>
      <c r="F45" s="14">
        <v>310.07</v>
      </c>
      <c r="G45" s="15">
        <v>114353</v>
      </c>
      <c r="H45" s="16">
        <v>40.9</v>
      </c>
      <c r="I45" s="17">
        <v>34</v>
      </c>
      <c r="J45" s="33">
        <f t="shared" si="1"/>
        <v>753.4701</v>
      </c>
      <c r="K45" s="28">
        <v>24</v>
      </c>
      <c r="L45" s="31">
        <v>36</v>
      </c>
      <c r="M45" s="32">
        <v>37</v>
      </c>
      <c r="N45" s="34">
        <f t="shared" si="3"/>
        <v>959.22433380581992</v>
      </c>
      <c r="O45" s="34">
        <v>319.74144460193997</v>
      </c>
      <c r="P45" s="32">
        <v>21</v>
      </c>
      <c r="Q45" s="32">
        <v>7</v>
      </c>
      <c r="R45" s="32">
        <v>41</v>
      </c>
    </row>
    <row r="46" spans="1:18" x14ac:dyDescent="0.25">
      <c r="A46" s="21">
        <v>35</v>
      </c>
      <c r="B46" s="19">
        <v>2800</v>
      </c>
      <c r="C46" s="11">
        <v>7.08</v>
      </c>
      <c r="D46" s="12">
        <v>6.57</v>
      </c>
      <c r="E46" s="13">
        <v>2.04</v>
      </c>
      <c r="F46" s="14">
        <v>178.56</v>
      </c>
      <c r="G46" s="15">
        <v>68711</v>
      </c>
      <c r="H46" s="16">
        <v>32.9</v>
      </c>
      <c r="I46" s="17">
        <v>18</v>
      </c>
      <c r="J46" s="33">
        <f t="shared" si="1"/>
        <v>499.96800000000002</v>
      </c>
      <c r="K46" s="28">
        <v>20</v>
      </c>
      <c r="L46" s="31">
        <v>34</v>
      </c>
      <c r="M46" s="32">
        <v>34</v>
      </c>
      <c r="N46" s="34">
        <f t="shared" si="3"/>
        <v>863.01057644906109</v>
      </c>
      <c r="O46" s="34">
        <v>287.67019214968701</v>
      </c>
      <c r="P46" s="32">
        <v>21</v>
      </c>
      <c r="Q46" s="32">
        <v>7</v>
      </c>
      <c r="R46" s="32">
        <v>38</v>
      </c>
    </row>
    <row r="47" spans="1:18" x14ac:dyDescent="0.25">
      <c r="A47" s="21">
        <v>14</v>
      </c>
      <c r="B47" s="19">
        <v>2500</v>
      </c>
      <c r="C47" s="11">
        <v>7</v>
      </c>
      <c r="D47" s="12">
        <v>1.92</v>
      </c>
      <c r="E47" s="13">
        <v>2.02</v>
      </c>
      <c r="F47" s="14">
        <v>572.84</v>
      </c>
      <c r="G47" s="15">
        <v>90988</v>
      </c>
      <c r="H47" s="16">
        <v>37.700000000000003</v>
      </c>
      <c r="I47" s="17">
        <v>37</v>
      </c>
      <c r="J47" s="33">
        <f t="shared" si="1"/>
        <v>1432.1</v>
      </c>
      <c r="K47" s="28">
        <v>30</v>
      </c>
      <c r="L47" s="31">
        <v>32</v>
      </c>
      <c r="M47" s="32">
        <v>45</v>
      </c>
      <c r="N47" s="34">
        <f>O47*3</f>
        <v>1100.808824971065</v>
      </c>
      <c r="O47" s="34">
        <v>366.936274990355</v>
      </c>
      <c r="P47" s="32">
        <v>17</v>
      </c>
      <c r="Q47" s="32">
        <v>7</v>
      </c>
      <c r="R47" s="32">
        <v>36</v>
      </c>
    </row>
    <row r="48" spans="1:18" x14ac:dyDescent="0.25">
      <c r="A48" s="21">
        <v>15</v>
      </c>
      <c r="B48" s="19">
        <v>1986</v>
      </c>
      <c r="C48" s="11">
        <v>7.38</v>
      </c>
      <c r="D48" s="12">
        <v>2.0499999999999998</v>
      </c>
      <c r="E48" s="13">
        <v>2.0099999999999998</v>
      </c>
      <c r="F48" s="14">
        <v>586.48</v>
      </c>
      <c r="G48" s="15">
        <v>37950</v>
      </c>
      <c r="H48" s="16">
        <v>34.299999999999997</v>
      </c>
      <c r="I48" s="17">
        <v>24</v>
      </c>
      <c r="J48" s="33">
        <f t="shared" si="1"/>
        <v>1164.74928</v>
      </c>
      <c r="K48" s="28">
        <v>31</v>
      </c>
      <c r="L48" s="31">
        <v>42</v>
      </c>
      <c r="M48" s="32">
        <v>43</v>
      </c>
      <c r="N48" s="34">
        <f>O48*2</f>
        <v>454.33655500905201</v>
      </c>
      <c r="O48" s="34">
        <v>227.168277504526</v>
      </c>
      <c r="P48" s="32">
        <v>23</v>
      </c>
      <c r="Q48" s="32">
        <v>8</v>
      </c>
      <c r="R48" s="32">
        <v>36</v>
      </c>
    </row>
    <row r="49" spans="1:18" x14ac:dyDescent="0.25">
      <c r="A49" s="21">
        <v>22</v>
      </c>
      <c r="B49" s="19">
        <v>2300</v>
      </c>
      <c r="C49" s="11">
        <v>6.99</v>
      </c>
      <c r="D49" s="12">
        <v>4.05</v>
      </c>
      <c r="E49" s="13">
        <v>2</v>
      </c>
      <c r="F49" s="14">
        <v>680.8</v>
      </c>
      <c r="G49" s="15">
        <v>54932</v>
      </c>
      <c r="H49" s="16">
        <v>35.9</v>
      </c>
      <c r="I49" s="17">
        <v>20</v>
      </c>
      <c r="J49" s="33">
        <f t="shared" si="1"/>
        <v>1565.84</v>
      </c>
      <c r="K49" s="28">
        <v>23</v>
      </c>
      <c r="L49" s="31">
        <v>35</v>
      </c>
      <c r="M49" s="32">
        <v>41</v>
      </c>
      <c r="N49" s="34">
        <f t="shared" ref="N49:N66" si="4">O49*2</f>
        <v>711.10984106785395</v>
      </c>
      <c r="O49" s="34">
        <v>355.55492053392697</v>
      </c>
      <c r="P49" s="32">
        <v>24</v>
      </c>
      <c r="Q49" s="32">
        <v>8</v>
      </c>
      <c r="R49" s="32">
        <v>35</v>
      </c>
    </row>
    <row r="50" spans="1:18" x14ac:dyDescent="0.25">
      <c r="A50" s="21">
        <v>50</v>
      </c>
      <c r="B50" s="19">
        <v>2625</v>
      </c>
      <c r="C50" s="11">
        <v>6.96</v>
      </c>
      <c r="D50" s="12">
        <v>9.1199999999999992</v>
      </c>
      <c r="E50" s="13">
        <v>1.98</v>
      </c>
      <c r="F50" s="14">
        <v>400.53</v>
      </c>
      <c r="G50" s="15">
        <v>56077</v>
      </c>
      <c r="H50" s="16">
        <v>38</v>
      </c>
      <c r="I50" s="17">
        <v>19</v>
      </c>
      <c r="J50" s="33">
        <f t="shared" si="1"/>
        <v>1051.3912499999999</v>
      </c>
      <c r="K50" s="28">
        <v>22</v>
      </c>
      <c r="L50" s="31">
        <v>35</v>
      </c>
      <c r="M50" s="32">
        <v>37</v>
      </c>
      <c r="N50" s="34">
        <f t="shared" si="4"/>
        <v>381.01823712171603</v>
      </c>
      <c r="O50" s="34">
        <v>190.50911856085801</v>
      </c>
      <c r="P50" s="32">
        <v>24</v>
      </c>
      <c r="Q50" s="32">
        <v>8</v>
      </c>
      <c r="R50" s="32">
        <v>35</v>
      </c>
    </row>
    <row r="51" spans="1:18" x14ac:dyDescent="0.25">
      <c r="A51" s="21">
        <v>61</v>
      </c>
      <c r="B51" s="19">
        <v>2223</v>
      </c>
      <c r="C51" s="11">
        <v>6.77</v>
      </c>
      <c r="D51" s="12">
        <v>12.47</v>
      </c>
      <c r="E51" s="13">
        <v>1.98</v>
      </c>
      <c r="F51" s="14">
        <v>453.94</v>
      </c>
      <c r="G51" s="15">
        <v>92414</v>
      </c>
      <c r="H51" s="16">
        <v>34.9</v>
      </c>
      <c r="I51" s="17">
        <v>40</v>
      </c>
      <c r="J51" s="33">
        <f t="shared" si="1"/>
        <v>1009.10862</v>
      </c>
      <c r="K51" s="28">
        <v>21</v>
      </c>
      <c r="L51" s="31">
        <v>30</v>
      </c>
      <c r="M51" s="32">
        <v>39</v>
      </c>
      <c r="N51" s="34">
        <f t="shared" si="4"/>
        <v>887.873439520396</v>
      </c>
      <c r="O51" s="34">
        <v>443.936719760198</v>
      </c>
      <c r="P51" s="32">
        <v>25</v>
      </c>
      <c r="Q51" s="32">
        <v>7</v>
      </c>
      <c r="R51" s="32">
        <v>37</v>
      </c>
    </row>
    <row r="52" spans="1:18" x14ac:dyDescent="0.25">
      <c r="A52" s="21">
        <v>27</v>
      </c>
      <c r="B52" s="19">
        <v>2400</v>
      </c>
      <c r="C52" s="11">
        <v>6.7</v>
      </c>
      <c r="D52" s="12">
        <v>5.48</v>
      </c>
      <c r="E52" s="13">
        <v>1.95</v>
      </c>
      <c r="F52" s="14">
        <v>494.88</v>
      </c>
      <c r="G52" s="15">
        <v>89016</v>
      </c>
      <c r="H52" s="16">
        <v>36.4</v>
      </c>
      <c r="I52" s="17">
        <v>34</v>
      </c>
      <c r="J52" s="33">
        <f t="shared" si="1"/>
        <v>1187.712</v>
      </c>
      <c r="K52" s="28">
        <v>23</v>
      </c>
      <c r="L52" s="31">
        <v>28</v>
      </c>
      <c r="M52" s="32">
        <v>36</v>
      </c>
      <c r="N52" s="34">
        <f t="shared" si="4"/>
        <v>338.81925192269398</v>
      </c>
      <c r="O52" s="34">
        <v>169.40962596134699</v>
      </c>
      <c r="P52" s="32">
        <v>26</v>
      </c>
      <c r="Q52" s="32">
        <v>7</v>
      </c>
      <c r="R52" s="32">
        <v>38</v>
      </c>
    </row>
    <row r="53" spans="1:18" x14ac:dyDescent="0.25">
      <c r="A53" s="21">
        <v>34</v>
      </c>
      <c r="B53" s="19">
        <v>2160</v>
      </c>
      <c r="C53" s="11">
        <v>7</v>
      </c>
      <c r="D53" s="12">
        <v>6.27</v>
      </c>
      <c r="E53" s="13">
        <v>1.95</v>
      </c>
      <c r="F53" s="14">
        <v>542.62</v>
      </c>
      <c r="G53" s="15">
        <v>43800</v>
      </c>
      <c r="H53" s="16">
        <v>29.6</v>
      </c>
      <c r="I53" s="17">
        <v>36</v>
      </c>
      <c r="J53" s="33">
        <f t="shared" si="1"/>
        <v>1172.0591999999999</v>
      </c>
      <c r="K53" s="28">
        <v>20</v>
      </c>
      <c r="L53" s="31">
        <v>28</v>
      </c>
      <c r="M53" s="32">
        <v>32</v>
      </c>
      <c r="N53" s="34">
        <f t="shared" si="4"/>
        <v>253.56294256186601</v>
      </c>
      <c r="O53" s="34">
        <v>126.781471280933</v>
      </c>
      <c r="P53" s="32">
        <v>22</v>
      </c>
      <c r="Q53" s="32">
        <v>8</v>
      </c>
      <c r="R53" s="32">
        <v>40</v>
      </c>
    </row>
    <row r="54" spans="1:18" x14ac:dyDescent="0.25">
      <c r="A54" s="21">
        <v>37</v>
      </c>
      <c r="B54" s="19">
        <v>2450</v>
      </c>
      <c r="C54" s="11">
        <v>6.81</v>
      </c>
      <c r="D54" s="12">
        <v>6.94</v>
      </c>
      <c r="E54" s="13">
        <v>1.95</v>
      </c>
      <c r="F54" s="14">
        <v>329.09</v>
      </c>
      <c r="G54" s="15">
        <v>39329</v>
      </c>
      <c r="H54" s="16">
        <v>29.3</v>
      </c>
      <c r="I54" s="17">
        <v>22</v>
      </c>
      <c r="J54" s="33">
        <f t="shared" si="1"/>
        <v>806.27049999999986</v>
      </c>
      <c r="K54" s="28">
        <v>18</v>
      </c>
      <c r="L54" s="31">
        <v>26</v>
      </c>
      <c r="M54" s="32">
        <v>32</v>
      </c>
      <c r="N54" s="34">
        <f t="shared" si="4"/>
        <v>333.29323429723797</v>
      </c>
      <c r="O54" s="34">
        <v>166.64661714861899</v>
      </c>
      <c r="P54" s="32">
        <v>22</v>
      </c>
      <c r="Q54" s="32">
        <v>8</v>
      </c>
      <c r="R54" s="32">
        <v>42</v>
      </c>
    </row>
    <row r="55" spans="1:18" x14ac:dyDescent="0.25">
      <c r="A55" s="21">
        <v>19</v>
      </c>
      <c r="B55" s="19">
        <v>1251</v>
      </c>
      <c r="C55" s="11">
        <v>7.02</v>
      </c>
      <c r="D55" s="12">
        <v>3.96</v>
      </c>
      <c r="E55" s="13">
        <v>1.94</v>
      </c>
      <c r="F55" s="14">
        <v>987.12</v>
      </c>
      <c r="G55" s="15">
        <v>46226</v>
      </c>
      <c r="H55" s="16">
        <v>30.4</v>
      </c>
      <c r="I55" s="17">
        <v>36</v>
      </c>
      <c r="J55" s="33">
        <f t="shared" si="1"/>
        <v>1234.8871200000001</v>
      </c>
      <c r="K55" s="28">
        <v>27</v>
      </c>
      <c r="L55" s="31">
        <v>26</v>
      </c>
      <c r="M55" s="32">
        <v>34</v>
      </c>
      <c r="N55" s="34">
        <f t="shared" si="4"/>
        <v>625.53342164612604</v>
      </c>
      <c r="O55" s="34">
        <v>312.76671082306302</v>
      </c>
      <c r="P55" s="32">
        <v>16</v>
      </c>
      <c r="Q55" s="32">
        <v>8</v>
      </c>
      <c r="R55" s="32">
        <v>34</v>
      </c>
    </row>
    <row r="56" spans="1:18" x14ac:dyDescent="0.25">
      <c r="A56" s="21">
        <v>49</v>
      </c>
      <c r="B56" s="19">
        <v>3150</v>
      </c>
      <c r="C56" s="11">
        <v>7.3</v>
      </c>
      <c r="D56" s="12">
        <v>8.9</v>
      </c>
      <c r="E56" s="13">
        <v>1.9</v>
      </c>
      <c r="F56" s="14">
        <v>367.06</v>
      </c>
      <c r="G56" s="15">
        <v>39180</v>
      </c>
      <c r="H56" s="16">
        <v>34.799999999999997</v>
      </c>
      <c r="I56" s="17">
        <v>18</v>
      </c>
      <c r="J56" s="33">
        <f t="shared" si="1"/>
        <v>1156.239</v>
      </c>
      <c r="K56" s="28">
        <v>21</v>
      </c>
      <c r="L56" s="31">
        <v>29</v>
      </c>
      <c r="M56" s="32">
        <v>30</v>
      </c>
      <c r="N56" s="34">
        <f t="shared" si="4"/>
        <v>891.249396045612</v>
      </c>
      <c r="O56" s="34">
        <v>445.624698022806</v>
      </c>
      <c r="P56" s="32">
        <v>16</v>
      </c>
      <c r="Q56" s="32">
        <v>8</v>
      </c>
      <c r="R56" s="32">
        <v>32</v>
      </c>
    </row>
    <row r="57" spans="1:18" x14ac:dyDescent="0.25">
      <c r="A57" s="21">
        <v>56</v>
      </c>
      <c r="B57" s="19">
        <v>3000</v>
      </c>
      <c r="C57" s="11">
        <v>7.28</v>
      </c>
      <c r="D57" s="12">
        <v>11.45</v>
      </c>
      <c r="E57" s="13">
        <v>1.88</v>
      </c>
      <c r="F57" s="14">
        <v>291.87</v>
      </c>
      <c r="G57" s="15">
        <v>75307</v>
      </c>
      <c r="H57" s="16">
        <v>34.799999999999997</v>
      </c>
      <c r="I57" s="17">
        <v>30</v>
      </c>
      <c r="J57" s="33">
        <f t="shared" si="1"/>
        <v>875.61</v>
      </c>
      <c r="K57" s="28">
        <v>22</v>
      </c>
      <c r="L57" s="31">
        <v>31</v>
      </c>
      <c r="M57" s="32">
        <v>30</v>
      </c>
      <c r="N57" s="34">
        <f t="shared" si="4"/>
        <v>860.38774383871805</v>
      </c>
      <c r="O57" s="34">
        <v>430.19387191935903</v>
      </c>
      <c r="P57" s="32">
        <v>22</v>
      </c>
      <c r="Q57" s="32">
        <v>8</v>
      </c>
      <c r="R57" s="32">
        <v>35</v>
      </c>
    </row>
    <row r="58" spans="1:18" x14ac:dyDescent="0.25">
      <c r="A58" s="21">
        <v>55</v>
      </c>
      <c r="B58" s="19">
        <v>2967</v>
      </c>
      <c r="C58" s="11">
        <v>6.98</v>
      </c>
      <c r="D58" s="12">
        <v>11.34</v>
      </c>
      <c r="E58" s="13">
        <v>1.85</v>
      </c>
      <c r="F58" s="14">
        <v>249.93</v>
      </c>
      <c r="G58" s="15">
        <v>78001</v>
      </c>
      <c r="H58" s="16">
        <v>32.200000000000003</v>
      </c>
      <c r="I58" s="17">
        <v>30</v>
      </c>
      <c r="J58" s="33">
        <f t="shared" si="1"/>
        <v>741.54231000000004</v>
      </c>
      <c r="K58" s="28">
        <v>18</v>
      </c>
      <c r="L58" s="31">
        <v>33</v>
      </c>
      <c r="M58" s="32">
        <v>27</v>
      </c>
      <c r="N58" s="34">
        <f t="shared" si="4"/>
        <v>966.62976476040001</v>
      </c>
      <c r="O58" s="34">
        <v>483.3148823802</v>
      </c>
      <c r="P58" s="32">
        <v>25</v>
      </c>
      <c r="Q58" s="32">
        <v>7</v>
      </c>
      <c r="R58" s="32">
        <v>34</v>
      </c>
    </row>
    <row r="59" spans="1:18" x14ac:dyDescent="0.25">
      <c r="A59" s="21">
        <v>23</v>
      </c>
      <c r="B59" s="19">
        <v>2761</v>
      </c>
      <c r="C59" s="11">
        <v>7.28</v>
      </c>
      <c r="D59" s="12">
        <v>4.24</v>
      </c>
      <c r="E59" s="13">
        <v>1.81</v>
      </c>
      <c r="F59" s="14">
        <v>368.02</v>
      </c>
      <c r="G59" s="15">
        <v>34097</v>
      </c>
      <c r="H59" s="16">
        <v>33.6</v>
      </c>
      <c r="I59" s="17">
        <v>20</v>
      </c>
      <c r="J59" s="33">
        <f t="shared" si="1"/>
        <v>1016.10322</v>
      </c>
      <c r="K59" s="28">
        <v>15</v>
      </c>
      <c r="L59" s="31">
        <v>35</v>
      </c>
      <c r="M59" s="32">
        <v>32</v>
      </c>
      <c r="N59" s="34">
        <f t="shared" si="4"/>
        <v>559.40716606823196</v>
      </c>
      <c r="O59" s="34">
        <v>279.70358303411598</v>
      </c>
      <c r="P59" s="32">
        <v>25</v>
      </c>
      <c r="Q59" s="32">
        <v>7</v>
      </c>
      <c r="R59" s="32">
        <v>32</v>
      </c>
    </row>
    <row r="60" spans="1:18" x14ac:dyDescent="0.25">
      <c r="A60" s="21">
        <v>39</v>
      </c>
      <c r="B60" s="19">
        <v>2270</v>
      </c>
      <c r="C60" s="11">
        <v>6.62</v>
      </c>
      <c r="D60" s="12">
        <v>7.39</v>
      </c>
      <c r="E60" s="13">
        <v>1.78</v>
      </c>
      <c r="F60" s="14">
        <v>323.17</v>
      </c>
      <c r="G60" s="15">
        <v>67099</v>
      </c>
      <c r="H60" s="16">
        <v>39.799999999999997</v>
      </c>
      <c r="I60" s="17">
        <v>25</v>
      </c>
      <c r="J60" s="33">
        <f t="shared" si="1"/>
        <v>733.59590000000003</v>
      </c>
      <c r="K60" s="28">
        <v>16</v>
      </c>
      <c r="L60" s="31">
        <v>35</v>
      </c>
      <c r="M60" s="32">
        <v>36</v>
      </c>
      <c r="N60" s="34">
        <f t="shared" si="4"/>
        <v>968.30998145559795</v>
      </c>
      <c r="O60" s="34">
        <v>484.15499072779897</v>
      </c>
      <c r="P60" s="32">
        <v>24</v>
      </c>
      <c r="Q60" s="32">
        <v>7</v>
      </c>
      <c r="R60" s="32">
        <v>31</v>
      </c>
    </row>
    <row r="61" spans="1:18" x14ac:dyDescent="0.25">
      <c r="A61" s="21">
        <v>74</v>
      </c>
      <c r="B61" s="19">
        <v>2400</v>
      </c>
      <c r="C61" s="11">
        <v>7.97</v>
      </c>
      <c r="D61" s="12">
        <v>28.81</v>
      </c>
      <c r="E61" s="13">
        <v>1.77</v>
      </c>
      <c r="F61" s="14">
        <v>326.54000000000002</v>
      </c>
      <c r="G61" s="15">
        <v>64225</v>
      </c>
      <c r="H61" s="16">
        <v>31.4</v>
      </c>
      <c r="I61" s="17">
        <v>15</v>
      </c>
      <c r="J61" s="33">
        <f t="shared" si="1"/>
        <v>783.69600000000003</v>
      </c>
      <c r="K61" s="28">
        <v>23</v>
      </c>
      <c r="L61" s="31">
        <v>32</v>
      </c>
      <c r="M61" s="32">
        <v>38</v>
      </c>
      <c r="N61" s="34">
        <f t="shared" si="4"/>
        <v>616.28093514244199</v>
      </c>
      <c r="O61" s="34">
        <v>308.140467571221</v>
      </c>
      <c r="P61" s="32">
        <v>23</v>
      </c>
      <c r="Q61" s="32">
        <v>7</v>
      </c>
      <c r="R61" s="32">
        <v>30</v>
      </c>
    </row>
    <row r="62" spans="1:18" x14ac:dyDescent="0.25">
      <c r="A62" s="21">
        <v>47</v>
      </c>
      <c r="B62" s="19">
        <v>2449</v>
      </c>
      <c r="C62" s="11">
        <v>7</v>
      </c>
      <c r="D62" s="12">
        <v>8.75</v>
      </c>
      <c r="E62" s="13">
        <v>1.76</v>
      </c>
      <c r="F62" s="14">
        <v>367.19</v>
      </c>
      <c r="G62" s="15">
        <v>73752</v>
      </c>
      <c r="H62" s="16">
        <v>40.5</v>
      </c>
      <c r="I62" s="17">
        <v>19</v>
      </c>
      <c r="J62" s="33">
        <f t="shared" si="1"/>
        <v>899.24830999999995</v>
      </c>
      <c r="K62" s="28">
        <v>15</v>
      </c>
      <c r="L62" s="31">
        <v>32</v>
      </c>
      <c r="M62" s="32">
        <v>34</v>
      </c>
      <c r="N62" s="34">
        <f t="shared" si="4"/>
        <v>585.41880932499998</v>
      </c>
      <c r="O62" s="34">
        <v>292.70940466249999</v>
      </c>
      <c r="P62" s="32">
        <v>23</v>
      </c>
      <c r="Q62" s="32">
        <v>7</v>
      </c>
      <c r="R62" s="32">
        <v>30</v>
      </c>
    </row>
    <row r="63" spans="1:18" x14ac:dyDescent="0.25">
      <c r="A63" s="21">
        <v>69</v>
      </c>
      <c r="B63" s="19">
        <v>3700</v>
      </c>
      <c r="C63" s="11">
        <v>7.65</v>
      </c>
      <c r="D63" s="12">
        <v>16.18</v>
      </c>
      <c r="E63" s="13">
        <v>1.68</v>
      </c>
      <c r="F63" s="14">
        <v>467.71</v>
      </c>
      <c r="G63" s="15">
        <v>48033</v>
      </c>
      <c r="H63" s="16">
        <v>30.3</v>
      </c>
      <c r="I63" s="17">
        <v>15</v>
      </c>
      <c r="J63" s="33">
        <f t="shared" si="1"/>
        <v>1730.527</v>
      </c>
      <c r="K63" s="28">
        <v>23</v>
      </c>
      <c r="L63" s="31">
        <v>34</v>
      </c>
      <c r="M63" s="32">
        <v>26</v>
      </c>
      <c r="N63" s="34">
        <f t="shared" si="4"/>
        <v>584.21302274980997</v>
      </c>
      <c r="O63" s="34">
        <v>292.10651137490498</v>
      </c>
      <c r="P63" s="32">
        <v>21</v>
      </c>
      <c r="Q63" s="32">
        <v>7</v>
      </c>
      <c r="R63" s="32">
        <v>34</v>
      </c>
    </row>
    <row r="64" spans="1:18" x14ac:dyDescent="0.25">
      <c r="A64" s="21">
        <v>3</v>
      </c>
      <c r="B64" s="19">
        <v>2453</v>
      </c>
      <c r="C64" s="11">
        <v>6.89</v>
      </c>
      <c r="D64" s="12">
        <v>-3.94</v>
      </c>
      <c r="E64" s="13">
        <v>1.66</v>
      </c>
      <c r="F64" s="14">
        <v>364.92</v>
      </c>
      <c r="G64" s="15">
        <v>51379</v>
      </c>
      <c r="H64" s="16">
        <v>40.299999999999997</v>
      </c>
      <c r="I64" s="17">
        <v>24</v>
      </c>
      <c r="J64" s="33">
        <f t="shared" si="1"/>
        <v>895.14876000000004</v>
      </c>
      <c r="K64" s="28">
        <v>15</v>
      </c>
      <c r="L64" s="31">
        <v>34</v>
      </c>
      <c r="M64" s="32">
        <v>30</v>
      </c>
      <c r="N64" s="34">
        <f t="shared" si="4"/>
        <v>951.69147208397999</v>
      </c>
      <c r="O64" s="34">
        <v>475.84573604198999</v>
      </c>
      <c r="P64" s="32">
        <v>21</v>
      </c>
      <c r="Q64" s="32">
        <v>8</v>
      </c>
      <c r="R64" s="32">
        <v>32</v>
      </c>
    </row>
    <row r="65" spans="1:18" x14ac:dyDescent="0.25">
      <c r="A65" s="21">
        <v>38</v>
      </c>
      <c r="B65" s="19">
        <v>2400</v>
      </c>
      <c r="C65" s="11">
        <v>7.64</v>
      </c>
      <c r="D65" s="12">
        <v>7.12</v>
      </c>
      <c r="E65" s="13">
        <v>1.64</v>
      </c>
      <c r="F65" s="14">
        <v>297.37</v>
      </c>
      <c r="G65" s="15">
        <v>63657</v>
      </c>
      <c r="H65" s="16">
        <v>37.299999999999997</v>
      </c>
      <c r="I65" s="17">
        <v>29</v>
      </c>
      <c r="J65" s="33">
        <f t="shared" si="1"/>
        <v>713.68799999999999</v>
      </c>
      <c r="K65" s="28">
        <v>16</v>
      </c>
      <c r="L65" s="31">
        <v>30</v>
      </c>
      <c r="M65" s="32">
        <v>35</v>
      </c>
      <c r="N65" s="34">
        <f t="shared" si="4"/>
        <v>365.44617201501597</v>
      </c>
      <c r="O65" s="34">
        <v>182.72308600750799</v>
      </c>
      <c r="P65" s="32">
        <v>20</v>
      </c>
      <c r="Q65" s="32">
        <v>8</v>
      </c>
      <c r="R65" s="32">
        <v>33</v>
      </c>
    </row>
    <row r="66" spans="1:18" x14ac:dyDescent="0.25">
      <c r="A66" s="21">
        <v>36</v>
      </c>
      <c r="B66" s="19">
        <v>2757</v>
      </c>
      <c r="C66" s="11">
        <v>6.75</v>
      </c>
      <c r="D66" s="12">
        <v>6.9</v>
      </c>
      <c r="E66" s="13">
        <v>1.62</v>
      </c>
      <c r="F66" s="14">
        <v>375.33</v>
      </c>
      <c r="G66" s="15">
        <v>65150</v>
      </c>
      <c r="H66" s="16">
        <v>40.700000000000003</v>
      </c>
      <c r="I66" s="17">
        <v>24</v>
      </c>
      <c r="J66" s="33">
        <f t="shared" si="1"/>
        <v>1034.7848099999999</v>
      </c>
      <c r="K66" s="28">
        <v>18</v>
      </c>
      <c r="L66" s="31">
        <v>35</v>
      </c>
      <c r="M66" s="32">
        <v>23</v>
      </c>
      <c r="N66" s="34">
        <f t="shared" si="4"/>
        <v>814.02022271425403</v>
      </c>
      <c r="O66" s="34">
        <v>407.01011135712702</v>
      </c>
      <c r="P66" s="32">
        <v>25</v>
      </c>
      <c r="Q66" s="32">
        <v>5</v>
      </c>
      <c r="R66" s="32">
        <v>36</v>
      </c>
    </row>
    <row r="67" spans="1:18" x14ac:dyDescent="0.25">
      <c r="A67" s="21">
        <v>29</v>
      </c>
      <c r="B67" s="19">
        <v>2549</v>
      </c>
      <c r="C67" s="11">
        <v>7.58</v>
      </c>
      <c r="D67" s="12">
        <v>5.91</v>
      </c>
      <c r="E67" s="13">
        <v>1.41</v>
      </c>
      <c r="F67" s="14">
        <v>373.46</v>
      </c>
      <c r="G67" s="15">
        <v>75366</v>
      </c>
      <c r="H67" s="16">
        <v>35</v>
      </c>
      <c r="I67" s="17">
        <v>30</v>
      </c>
      <c r="J67" s="33">
        <f t="shared" si="1"/>
        <v>951.94953999999996</v>
      </c>
      <c r="K67" s="28">
        <v>17</v>
      </c>
      <c r="L67" s="31">
        <v>32</v>
      </c>
      <c r="M67" s="32">
        <v>25</v>
      </c>
      <c r="N67" s="34">
        <f>O67*1</f>
        <v>236.52084441601599</v>
      </c>
      <c r="O67" s="34">
        <v>236.52084441601599</v>
      </c>
      <c r="P67" s="32">
        <v>17</v>
      </c>
      <c r="Q67" s="32">
        <v>6</v>
      </c>
      <c r="R67" s="32">
        <v>31</v>
      </c>
    </row>
    <row r="68" spans="1:18" x14ac:dyDescent="0.25">
      <c r="A68" s="21">
        <v>46</v>
      </c>
      <c r="B68" s="19">
        <v>2500</v>
      </c>
      <c r="C68" s="11">
        <v>7.45</v>
      </c>
      <c r="D68" s="12">
        <v>8.7200000000000006</v>
      </c>
      <c r="E68" s="13">
        <v>1.28</v>
      </c>
      <c r="F68" s="14">
        <v>698.64</v>
      </c>
      <c r="G68" s="15">
        <v>87863</v>
      </c>
      <c r="H68" s="16">
        <v>38.5</v>
      </c>
      <c r="I68" s="17">
        <v>29</v>
      </c>
      <c r="J68" s="33">
        <f t="shared" si="1"/>
        <v>1746.6</v>
      </c>
      <c r="K68" s="28">
        <v>13</v>
      </c>
      <c r="L68" s="31">
        <v>26</v>
      </c>
      <c r="M68" s="32">
        <v>24</v>
      </c>
      <c r="N68" s="34">
        <f t="shared" ref="N68:N76" si="5">O68*1</f>
        <v>401.51374085757999</v>
      </c>
      <c r="O68" s="34">
        <v>401.51374085757999</v>
      </c>
      <c r="P68" s="32">
        <v>18</v>
      </c>
      <c r="Q68" s="32">
        <v>6</v>
      </c>
      <c r="R68" s="32">
        <v>28</v>
      </c>
    </row>
    <row r="69" spans="1:18" x14ac:dyDescent="0.25">
      <c r="A69" s="21">
        <v>65</v>
      </c>
      <c r="B69" s="19">
        <v>2650</v>
      </c>
      <c r="C69" s="11">
        <v>7.33</v>
      </c>
      <c r="D69" s="12">
        <v>14.23</v>
      </c>
      <c r="E69" s="13">
        <v>1.17</v>
      </c>
      <c r="F69" s="14">
        <v>348.33</v>
      </c>
      <c r="G69" s="15">
        <v>67925</v>
      </c>
      <c r="H69" s="16">
        <v>41.1</v>
      </c>
      <c r="I69" s="17">
        <v>16</v>
      </c>
      <c r="J69" s="33">
        <f t="shared" si="1"/>
        <v>923.07449999999994</v>
      </c>
      <c r="K69" s="28">
        <v>17</v>
      </c>
      <c r="L69" s="31">
        <v>24</v>
      </c>
      <c r="M69" s="32">
        <v>24</v>
      </c>
      <c r="N69" s="34">
        <f t="shared" si="5"/>
        <v>261.399415123621</v>
      </c>
      <c r="O69" s="34">
        <v>261.399415123621</v>
      </c>
      <c r="P69" s="32">
        <v>19</v>
      </c>
      <c r="Q69" s="32">
        <v>4</v>
      </c>
      <c r="R69" s="32">
        <v>27</v>
      </c>
    </row>
    <row r="70" spans="1:18" x14ac:dyDescent="0.25">
      <c r="A70" s="21">
        <v>72</v>
      </c>
      <c r="B70" s="19">
        <v>2450</v>
      </c>
      <c r="C70" s="11">
        <v>7.37</v>
      </c>
      <c r="D70" s="12">
        <v>20.76</v>
      </c>
      <c r="E70" s="13">
        <v>1.0900000000000001</v>
      </c>
      <c r="F70" s="14">
        <v>339.94</v>
      </c>
      <c r="G70" s="15">
        <v>60928</v>
      </c>
      <c r="H70" s="16">
        <v>43.5</v>
      </c>
      <c r="I70" s="17">
        <v>21</v>
      </c>
      <c r="J70" s="33">
        <f t="shared" si="1"/>
        <v>832.85299999999995</v>
      </c>
      <c r="K70" s="28">
        <v>14</v>
      </c>
      <c r="L70" s="31">
        <v>22</v>
      </c>
      <c r="M70" s="32">
        <v>22</v>
      </c>
      <c r="N70" s="34">
        <f t="shared" si="5"/>
        <v>401.29400529455501</v>
      </c>
      <c r="O70" s="34">
        <v>401.29400529455501</v>
      </c>
      <c r="P70" s="32">
        <v>15</v>
      </c>
      <c r="Q70" s="32">
        <v>4</v>
      </c>
      <c r="R70" s="32">
        <v>27</v>
      </c>
    </row>
    <row r="71" spans="1:18" x14ac:dyDescent="0.25">
      <c r="A71" s="21">
        <v>63</v>
      </c>
      <c r="B71" s="19">
        <v>3799</v>
      </c>
      <c r="C71" s="11">
        <v>7.87</v>
      </c>
      <c r="D71" s="12">
        <v>13.78</v>
      </c>
      <c r="E71" s="13">
        <v>1.07</v>
      </c>
      <c r="F71" s="14">
        <v>345.27</v>
      </c>
      <c r="G71" s="15">
        <v>59599</v>
      </c>
      <c r="H71" s="16">
        <v>35.6</v>
      </c>
      <c r="I71" s="17">
        <v>28</v>
      </c>
      <c r="J71" s="33">
        <f t="shared" ref="J71:J76" si="6">B71*F71/1000</f>
        <v>1311.68073</v>
      </c>
      <c r="K71" s="28">
        <v>13</v>
      </c>
      <c r="L71" s="31">
        <v>18</v>
      </c>
      <c r="M71" s="32">
        <v>22</v>
      </c>
      <c r="N71" s="34">
        <f t="shared" si="5"/>
        <v>249.75470380752799</v>
      </c>
      <c r="O71" s="34">
        <v>249.75470380752799</v>
      </c>
      <c r="P71" s="32">
        <v>15</v>
      </c>
      <c r="Q71" s="32">
        <v>3</v>
      </c>
      <c r="R71" s="32">
        <v>25</v>
      </c>
    </row>
    <row r="72" spans="1:18" x14ac:dyDescent="0.25">
      <c r="A72" s="21">
        <v>67</v>
      </c>
      <c r="B72" s="19">
        <v>2994</v>
      </c>
      <c r="C72" s="11">
        <v>7.21</v>
      </c>
      <c r="D72" s="12">
        <v>14.88</v>
      </c>
      <c r="E72" s="13">
        <v>0.93</v>
      </c>
      <c r="F72" s="14">
        <v>294.95</v>
      </c>
      <c r="G72" s="15">
        <v>75652</v>
      </c>
      <c r="H72" s="16">
        <v>40.5</v>
      </c>
      <c r="I72" s="17">
        <v>25</v>
      </c>
      <c r="J72" s="33">
        <f t="shared" si="6"/>
        <v>883.08029999999997</v>
      </c>
      <c r="K72" s="28">
        <v>15</v>
      </c>
      <c r="L72" s="31">
        <v>16</v>
      </c>
      <c r="M72" s="32">
        <v>20</v>
      </c>
      <c r="N72" s="34">
        <f t="shared" si="5"/>
        <v>332.08124832056097</v>
      </c>
      <c r="O72" s="34">
        <v>332.08124832056097</v>
      </c>
      <c r="P72" s="32">
        <v>14</v>
      </c>
      <c r="Q72" s="32">
        <v>5</v>
      </c>
      <c r="R72" s="32">
        <v>23</v>
      </c>
    </row>
    <row r="73" spans="1:18" x14ac:dyDescent="0.25">
      <c r="A73" s="21">
        <v>62</v>
      </c>
      <c r="B73" s="19">
        <v>2300</v>
      </c>
      <c r="C73" s="11">
        <v>7.33</v>
      </c>
      <c r="D73" s="12">
        <v>12.8</v>
      </c>
      <c r="E73" s="13">
        <v>0.87</v>
      </c>
      <c r="F73" s="14">
        <v>512.46</v>
      </c>
      <c r="G73" s="15">
        <v>92602</v>
      </c>
      <c r="H73" s="16">
        <v>39.299999999999997</v>
      </c>
      <c r="I73" s="17">
        <v>33</v>
      </c>
      <c r="J73" s="33">
        <f t="shared" si="6"/>
        <v>1178.6579999999999</v>
      </c>
      <c r="K73" s="28">
        <v>15</v>
      </c>
      <c r="L73" s="31">
        <v>14</v>
      </c>
      <c r="M73" s="32">
        <v>18</v>
      </c>
      <c r="N73" s="34">
        <f t="shared" si="5"/>
        <v>367.62850745459599</v>
      </c>
      <c r="O73" s="34">
        <v>367.62850745459599</v>
      </c>
      <c r="P73" s="32">
        <v>14</v>
      </c>
      <c r="Q73" s="32">
        <v>3</v>
      </c>
      <c r="R73" s="32">
        <v>22</v>
      </c>
    </row>
    <row r="74" spans="1:18" x14ac:dyDescent="0.25">
      <c r="A74" s="21">
        <v>21</v>
      </c>
      <c r="B74" s="19">
        <v>2625</v>
      </c>
      <c r="C74" s="11">
        <v>7.16</v>
      </c>
      <c r="D74" s="12">
        <v>4.05</v>
      </c>
      <c r="E74" s="13">
        <v>0.72</v>
      </c>
      <c r="F74" s="14">
        <v>405.77</v>
      </c>
      <c r="G74" s="15">
        <v>54982</v>
      </c>
      <c r="H74" s="16">
        <v>35.6</v>
      </c>
      <c r="I74" s="17">
        <v>26</v>
      </c>
      <c r="J74" s="33">
        <f t="shared" si="6"/>
        <v>1065.14625</v>
      </c>
      <c r="K74" s="28">
        <v>16</v>
      </c>
      <c r="L74" s="31">
        <v>14</v>
      </c>
      <c r="M74" s="32">
        <v>17</v>
      </c>
      <c r="N74" s="34">
        <f t="shared" si="5"/>
        <v>350.11081873216</v>
      </c>
      <c r="O74" s="34">
        <v>350.11081873216</v>
      </c>
      <c r="P74" s="32">
        <v>13</v>
      </c>
      <c r="Q74" s="32">
        <v>3</v>
      </c>
      <c r="R74" s="32">
        <v>18</v>
      </c>
    </row>
    <row r="75" spans="1:18" x14ac:dyDescent="0.25">
      <c r="A75" s="21">
        <v>73</v>
      </c>
      <c r="B75" s="19">
        <v>2575</v>
      </c>
      <c r="C75" s="11">
        <v>6.76</v>
      </c>
      <c r="D75" s="12">
        <v>25.54</v>
      </c>
      <c r="E75" s="13">
        <v>0.64</v>
      </c>
      <c r="F75" s="14">
        <v>400.82</v>
      </c>
      <c r="G75" s="15">
        <v>73762</v>
      </c>
      <c r="H75" s="16">
        <v>41.6</v>
      </c>
      <c r="I75" s="17">
        <v>29</v>
      </c>
      <c r="J75" s="33">
        <f t="shared" si="6"/>
        <v>1032.1115</v>
      </c>
      <c r="K75" s="28">
        <v>19</v>
      </c>
      <c r="L75" s="31">
        <v>12</v>
      </c>
      <c r="M75" s="32">
        <v>15</v>
      </c>
      <c r="N75" s="34">
        <f t="shared" si="5"/>
        <v>109.94485127050601</v>
      </c>
      <c r="O75" s="34">
        <v>109.94485127050601</v>
      </c>
      <c r="P75" s="32">
        <v>12</v>
      </c>
      <c r="Q75" s="32">
        <v>2</v>
      </c>
      <c r="R75" s="32">
        <v>16</v>
      </c>
    </row>
    <row r="76" spans="1:18" x14ac:dyDescent="0.25">
      <c r="A76" s="21">
        <v>54</v>
      </c>
      <c r="B76" s="19">
        <v>2986</v>
      </c>
      <c r="C76" s="11">
        <v>7.56</v>
      </c>
      <c r="D76" s="12">
        <v>10.97</v>
      </c>
      <c r="E76" s="13">
        <v>0.28999999999999998</v>
      </c>
      <c r="F76" s="14">
        <v>330.48</v>
      </c>
      <c r="G76" s="15">
        <v>55584</v>
      </c>
      <c r="H76" s="16">
        <v>36.799999999999997</v>
      </c>
      <c r="I76" s="17">
        <v>21</v>
      </c>
      <c r="J76" s="33">
        <f t="shared" si="6"/>
        <v>986.81328000000008</v>
      </c>
      <c r="K76" s="28">
        <v>10</v>
      </c>
      <c r="L76" s="31">
        <v>12</v>
      </c>
      <c r="M76" s="32">
        <v>15.5</v>
      </c>
      <c r="N76" s="34">
        <f t="shared" si="5"/>
        <v>297.01695146711899</v>
      </c>
      <c r="O76" s="34">
        <v>297.01695146711899</v>
      </c>
      <c r="P76" s="32">
        <v>12</v>
      </c>
      <c r="Q76" s="32">
        <v>2</v>
      </c>
      <c r="R76" s="32">
        <v>17</v>
      </c>
    </row>
    <row r="77" spans="1:18" x14ac:dyDescent="0.25">
      <c r="P77"/>
      <c r="Q77"/>
    </row>
    <row r="78" spans="1:18" ht="13" x14ac:dyDescent="0.3">
      <c r="A78" s="3" t="s">
        <v>24</v>
      </c>
      <c r="B78" s="4">
        <f t="shared" ref="B78:J78" si="7">AVERAGE(B3:B76)</f>
        <v>2580.4729729729729</v>
      </c>
      <c r="C78" s="23">
        <f t="shared" si="7"/>
        <v>7.0440540540540511</v>
      </c>
      <c r="D78" s="23">
        <f t="shared" si="7"/>
        <v>7.4140540540540538</v>
      </c>
      <c r="E78" s="23">
        <f t="shared" si="7"/>
        <v>2.026486486486486</v>
      </c>
      <c r="F78" s="23">
        <f t="shared" si="7"/>
        <v>420.30540540540522</v>
      </c>
      <c r="G78" s="25">
        <f t="shared" si="7"/>
        <v>62807.7027027027</v>
      </c>
      <c r="H78" s="23">
        <f t="shared" si="7"/>
        <v>35.20135135135137</v>
      </c>
      <c r="I78" s="23">
        <f t="shared" si="7"/>
        <v>26.310810810810811</v>
      </c>
      <c r="J78" s="35">
        <f t="shared" si="7"/>
        <v>1059.3813144594596</v>
      </c>
      <c r="K78" s="37"/>
      <c r="P78"/>
      <c r="Q78"/>
    </row>
    <row r="79" spans="1:18" ht="13" x14ac:dyDescent="0.3">
      <c r="A79" s="3" t="s">
        <v>32</v>
      </c>
      <c r="B79" s="4">
        <f t="shared" ref="B79:J79" si="8">STDEVP(B3:B76)</f>
        <v>372.37717811790418</v>
      </c>
      <c r="C79" s="8">
        <f t="shared" si="8"/>
        <v>0.295245747017994</v>
      </c>
      <c r="D79" s="8">
        <f t="shared" si="8"/>
        <v>6.5798163777301362</v>
      </c>
      <c r="E79" s="8">
        <f t="shared" si="8"/>
        <v>0.54862588156729764</v>
      </c>
      <c r="F79" s="8">
        <f t="shared" si="8"/>
        <v>136.30907513946511</v>
      </c>
      <c r="G79" s="8">
        <f t="shared" si="8"/>
        <v>17782.886653252477</v>
      </c>
      <c r="H79" s="8">
        <f t="shared" si="8"/>
        <v>3.6297752608279144</v>
      </c>
      <c r="I79" s="22">
        <f t="shared" si="8"/>
        <v>6.9572549644154282</v>
      </c>
      <c r="J79" s="22">
        <f t="shared" si="8"/>
        <v>278.52225049357492</v>
      </c>
      <c r="P79"/>
      <c r="Q79"/>
    </row>
    <row r="80" spans="1:18" ht="13" x14ac:dyDescent="0.3">
      <c r="A80" s="3" t="s">
        <v>25</v>
      </c>
      <c r="B80" s="4">
        <f t="shared" ref="B80:J80" si="9">MIN(B3:B76)</f>
        <v>1251</v>
      </c>
      <c r="C80" s="23">
        <f t="shared" si="9"/>
        <v>6.54</v>
      </c>
      <c r="D80" s="24">
        <f t="shared" si="9"/>
        <v>-8.31</v>
      </c>
      <c r="E80" s="23">
        <f t="shared" si="9"/>
        <v>0.28999999999999998</v>
      </c>
      <c r="F80" s="23">
        <f t="shared" si="9"/>
        <v>178.56</v>
      </c>
      <c r="G80" s="24">
        <f t="shared" si="9"/>
        <v>32929</v>
      </c>
      <c r="H80" s="24">
        <f t="shared" si="9"/>
        <v>24.7</v>
      </c>
      <c r="I80" s="24">
        <f t="shared" si="9"/>
        <v>14</v>
      </c>
      <c r="J80" s="35">
        <f t="shared" si="9"/>
        <v>499.96800000000002</v>
      </c>
      <c r="K80" s="37"/>
      <c r="P80"/>
      <c r="Q80"/>
    </row>
    <row r="81" spans="1:17" ht="13" x14ac:dyDescent="0.3">
      <c r="A81" s="3" t="s">
        <v>26</v>
      </c>
      <c r="B81" s="4">
        <f t="shared" ref="B81:J81" si="10">QUARTILE(B3:B76,1)</f>
        <v>2400</v>
      </c>
      <c r="C81" s="7">
        <f t="shared" si="10"/>
        <v>6.8250000000000002</v>
      </c>
      <c r="D81" s="7">
        <f t="shared" si="10"/>
        <v>3.98</v>
      </c>
      <c r="E81" s="7">
        <f t="shared" si="10"/>
        <v>1.8574999999999999</v>
      </c>
      <c r="F81" s="7">
        <f t="shared" si="10"/>
        <v>332.84500000000003</v>
      </c>
      <c r="G81" s="7">
        <f t="shared" si="10"/>
        <v>46953</v>
      </c>
      <c r="H81" s="7">
        <f t="shared" si="10"/>
        <v>32.524999999999999</v>
      </c>
      <c r="I81" s="7">
        <f t="shared" si="10"/>
        <v>20.25</v>
      </c>
      <c r="J81" s="36">
        <f t="shared" si="10"/>
        <v>877.477575</v>
      </c>
      <c r="K81" s="38"/>
      <c r="P81"/>
      <c r="Q81"/>
    </row>
    <row r="82" spans="1:17" ht="13" x14ac:dyDescent="0.3">
      <c r="A82" s="3" t="s">
        <v>27</v>
      </c>
      <c r="B82" s="4">
        <f>MEDIAN(B3:B76)</f>
        <v>2500</v>
      </c>
      <c r="C82" s="23">
        <f>MEDIAN(C3:C76)</f>
        <v>7</v>
      </c>
      <c r="D82" s="23">
        <f t="shared" ref="D82:J82" si="11">MEDIAN(D3:D76)</f>
        <v>7.03</v>
      </c>
      <c r="E82" s="23">
        <f>MEDIAN(E3:E76)</f>
        <v>2.0750000000000002</v>
      </c>
      <c r="F82" s="23">
        <f>MEDIAN(F3:F76)</f>
        <v>396.01</v>
      </c>
      <c r="G82" s="24">
        <f t="shared" si="11"/>
        <v>62757</v>
      </c>
      <c r="H82" s="23">
        <f>MEDIAN(H3:H76)</f>
        <v>35</v>
      </c>
      <c r="I82" s="23">
        <f t="shared" si="11"/>
        <v>26.5</v>
      </c>
      <c r="J82" s="35">
        <f t="shared" si="11"/>
        <v>1035.7492050000001</v>
      </c>
      <c r="K82" s="37"/>
      <c r="P82"/>
      <c r="Q82"/>
    </row>
    <row r="83" spans="1:17" ht="13" x14ac:dyDescent="0.3">
      <c r="A83" s="3" t="s">
        <v>28</v>
      </c>
      <c r="B83" s="4">
        <f>QUARTILE(B3:B76,3)</f>
        <v>2735.25</v>
      </c>
      <c r="C83" s="8">
        <f>QUARTILE(C3:C76,3)</f>
        <v>7.1775000000000002</v>
      </c>
      <c r="D83" s="8">
        <f t="shared" ref="D83:J83" si="12">QUARTILE(D3:D76,3)</f>
        <v>11.422499999999999</v>
      </c>
      <c r="E83" s="8">
        <f t="shared" si="12"/>
        <v>2.3249999999999997</v>
      </c>
      <c r="F83" s="8">
        <f t="shared" si="12"/>
        <v>483.5625</v>
      </c>
      <c r="G83" s="8">
        <f t="shared" si="12"/>
        <v>76194.25</v>
      </c>
      <c r="H83" s="8">
        <f t="shared" si="12"/>
        <v>37.524999999999999</v>
      </c>
      <c r="I83" s="8">
        <f t="shared" si="12"/>
        <v>30.75</v>
      </c>
      <c r="J83" s="22">
        <f t="shared" si="12"/>
        <v>1228.8669600000001</v>
      </c>
      <c r="P83"/>
      <c r="Q83"/>
    </row>
    <row r="84" spans="1:17" ht="13" x14ac:dyDescent="0.3">
      <c r="A84" s="3" t="s">
        <v>29</v>
      </c>
      <c r="B84" s="4">
        <f>MAX(B3:B76)</f>
        <v>3799</v>
      </c>
      <c r="C84" s="23">
        <f>MAX(C3:C76)</f>
        <v>7.97</v>
      </c>
      <c r="D84" s="23">
        <f t="shared" ref="D84:J84" si="13">MAX(D3:D76)</f>
        <v>28.81</v>
      </c>
      <c r="E84" s="23">
        <f t="shared" si="13"/>
        <v>3.38</v>
      </c>
      <c r="F84" s="23">
        <f t="shared" si="13"/>
        <v>987.12</v>
      </c>
      <c r="G84" s="24">
        <f t="shared" si="13"/>
        <v>114353</v>
      </c>
      <c r="H84" s="23">
        <f t="shared" si="13"/>
        <v>43.5</v>
      </c>
      <c r="I84" s="23">
        <f t="shared" si="13"/>
        <v>40</v>
      </c>
      <c r="J84" s="35">
        <f t="shared" si="13"/>
        <v>1746.6</v>
      </c>
      <c r="K84" s="37"/>
      <c r="P84"/>
      <c r="Q84"/>
    </row>
    <row r="85" spans="1:17" ht="13" x14ac:dyDescent="0.3">
      <c r="A85" s="3" t="s">
        <v>30</v>
      </c>
      <c r="B85" s="4">
        <f>SKEW(B3:B76)</f>
        <v>0.52717083718975533</v>
      </c>
      <c r="C85" s="8">
        <f>SKEW(C3:C76)</f>
        <v>0.90363150325207442</v>
      </c>
      <c r="D85" s="8">
        <f t="shared" ref="D85:J85" si="14">SKEW(D3:D76)</f>
        <v>0.49374747107285555</v>
      </c>
      <c r="E85" s="8">
        <f>SKEW(E3:E76)</f>
        <v>-0.75689111370513917</v>
      </c>
      <c r="F85" s="8">
        <f t="shared" si="14"/>
        <v>1.2358965499515848</v>
      </c>
      <c r="G85" s="8">
        <f>SKEW(G3:G76)</f>
        <v>0.29783801178636155</v>
      </c>
      <c r="H85" s="8">
        <f t="shared" si="14"/>
        <v>-0.1669958223349588</v>
      </c>
      <c r="I85" s="8">
        <f t="shared" si="14"/>
        <v>0.14054419559431464</v>
      </c>
      <c r="J85" s="22">
        <f t="shared" si="14"/>
        <v>0.36141333138942699</v>
      </c>
      <c r="P85"/>
      <c r="Q85"/>
    </row>
    <row r="86" spans="1:17" ht="13" x14ac:dyDescent="0.3">
      <c r="A86" s="3" t="s">
        <v>31</v>
      </c>
      <c r="B86" s="4">
        <f t="shared" ref="B86:J86" si="15">B83-B81</f>
        <v>335.25</v>
      </c>
      <c r="C86" s="8">
        <f t="shared" si="15"/>
        <v>0.35250000000000004</v>
      </c>
      <c r="D86" s="8">
        <f t="shared" si="15"/>
        <v>7.442499999999999</v>
      </c>
      <c r="E86" s="8">
        <f t="shared" si="15"/>
        <v>0.4674999999999998</v>
      </c>
      <c r="F86" s="8">
        <f t="shared" si="15"/>
        <v>150.71749999999997</v>
      </c>
      <c r="G86" s="8">
        <f t="shared" si="15"/>
        <v>29241.25</v>
      </c>
      <c r="H86" s="8">
        <f t="shared" si="15"/>
        <v>5</v>
      </c>
      <c r="I86" s="8">
        <f t="shared" si="15"/>
        <v>10.5</v>
      </c>
      <c r="J86" s="22">
        <f t="shared" si="15"/>
        <v>351.38938500000006</v>
      </c>
      <c r="P86"/>
      <c r="Q86"/>
    </row>
    <row r="87" spans="1:17" x14ac:dyDescent="0.25">
      <c r="J87" s="8"/>
      <c r="P87"/>
      <c r="Q87"/>
    </row>
    <row r="88" spans="1:17" x14ac:dyDescent="0.25">
      <c r="J88" s="8"/>
      <c r="P88"/>
      <c r="Q88"/>
    </row>
    <row r="89" spans="1:17" x14ac:dyDescent="0.25">
      <c r="J89" s="8"/>
      <c r="P89"/>
      <c r="Q89"/>
    </row>
    <row r="90" spans="1:17" x14ac:dyDescent="0.25">
      <c r="J90" s="8"/>
      <c r="P90"/>
      <c r="Q90"/>
    </row>
    <row r="91" spans="1:17" x14ac:dyDescent="0.25">
      <c r="J91" s="8"/>
      <c r="P91"/>
      <c r="Q91"/>
    </row>
    <row r="92" spans="1:17" x14ac:dyDescent="0.25">
      <c r="J92" s="8"/>
      <c r="P92"/>
      <c r="Q92"/>
    </row>
    <row r="93" spans="1:17" x14ac:dyDescent="0.25">
      <c r="J93" s="8"/>
      <c r="P93"/>
      <c r="Q93"/>
    </row>
    <row r="94" spans="1:17" x14ac:dyDescent="0.25">
      <c r="J94" s="8"/>
      <c r="P94"/>
      <c r="Q94"/>
    </row>
    <row r="95" spans="1:17" x14ac:dyDescent="0.25">
      <c r="P95"/>
      <c r="Q95"/>
    </row>
    <row r="96" spans="1:17" x14ac:dyDescent="0.25">
      <c r="P96"/>
      <c r="Q96"/>
    </row>
    <row r="97" spans="16:17" x14ac:dyDescent="0.25">
      <c r="P97"/>
      <c r="Q97"/>
    </row>
    <row r="98" spans="16:17" x14ac:dyDescent="0.25">
      <c r="P98"/>
      <c r="Q98"/>
    </row>
    <row r="99" spans="16:17" x14ac:dyDescent="0.25">
      <c r="P99"/>
      <c r="Q99"/>
    </row>
    <row r="100" spans="16:17" x14ac:dyDescent="0.25">
      <c r="P100"/>
      <c r="Q100"/>
    </row>
    <row r="101" spans="16:17" x14ac:dyDescent="0.25">
      <c r="P101"/>
      <c r="Q101"/>
    </row>
    <row r="102" spans="16:17" x14ac:dyDescent="0.25">
      <c r="P102"/>
      <c r="Q102"/>
    </row>
    <row r="103" spans="16:17" x14ac:dyDescent="0.25">
      <c r="P103"/>
      <c r="Q103"/>
    </row>
    <row r="104" spans="16:17" x14ac:dyDescent="0.25">
      <c r="P104"/>
      <c r="Q104"/>
    </row>
    <row r="105" spans="16:17" x14ac:dyDescent="0.25">
      <c r="P105"/>
      <c r="Q105"/>
    </row>
    <row r="106" spans="16:17" x14ac:dyDescent="0.25">
      <c r="P106"/>
      <c r="Q106"/>
    </row>
    <row r="107" spans="16:17" x14ac:dyDescent="0.25">
      <c r="P107"/>
      <c r="Q107"/>
    </row>
    <row r="108" spans="16:17" x14ac:dyDescent="0.25">
      <c r="P108"/>
      <c r="Q108"/>
    </row>
    <row r="109" spans="16:17" x14ac:dyDescent="0.25">
      <c r="P109"/>
      <c r="Q109"/>
    </row>
    <row r="110" spans="16:17" x14ac:dyDescent="0.25">
      <c r="P110"/>
      <c r="Q110"/>
    </row>
    <row r="111" spans="16:17" x14ac:dyDescent="0.25">
      <c r="P111"/>
      <c r="Q111"/>
    </row>
    <row r="112" spans="16:17" x14ac:dyDescent="0.25">
      <c r="P112"/>
      <c r="Q112"/>
    </row>
    <row r="113" spans="16:17" x14ac:dyDescent="0.25">
      <c r="P113"/>
      <c r="Q113"/>
    </row>
    <row r="114" spans="16:17" x14ac:dyDescent="0.25">
      <c r="P114"/>
      <c r="Q114"/>
    </row>
    <row r="115" spans="16:17" x14ac:dyDescent="0.25">
      <c r="P115"/>
      <c r="Q115"/>
    </row>
    <row r="116" spans="16:17" x14ac:dyDescent="0.25">
      <c r="P116"/>
      <c r="Q116"/>
    </row>
    <row r="117" spans="16:17" x14ac:dyDescent="0.25">
      <c r="P117"/>
      <c r="Q117"/>
    </row>
    <row r="118" spans="16:17" x14ac:dyDescent="0.25">
      <c r="P118"/>
      <c r="Q118"/>
    </row>
    <row r="119" spans="16:17" x14ac:dyDescent="0.25">
      <c r="P119"/>
      <c r="Q119"/>
    </row>
    <row r="120" spans="16:17" x14ac:dyDescent="0.25">
      <c r="P120"/>
      <c r="Q120"/>
    </row>
    <row r="121" spans="16:17" x14ac:dyDescent="0.25">
      <c r="P121"/>
      <c r="Q121"/>
    </row>
    <row r="122" spans="16:17" x14ac:dyDescent="0.25">
      <c r="P122"/>
      <c r="Q122"/>
    </row>
    <row r="123" spans="16:17" x14ac:dyDescent="0.25">
      <c r="P123"/>
      <c r="Q123"/>
    </row>
    <row r="124" spans="16:17" x14ac:dyDescent="0.25">
      <c r="P124"/>
      <c r="Q124"/>
    </row>
    <row r="125" spans="16:17" x14ac:dyDescent="0.25">
      <c r="P125"/>
      <c r="Q125"/>
    </row>
    <row r="126" spans="16:17" x14ac:dyDescent="0.25">
      <c r="P126"/>
      <c r="Q126"/>
    </row>
    <row r="127" spans="16:17" x14ac:dyDescent="0.25">
      <c r="P127"/>
      <c r="Q127"/>
    </row>
    <row r="128" spans="16:17" x14ac:dyDescent="0.25">
      <c r="P128"/>
      <c r="Q128"/>
    </row>
    <row r="129" spans="16:17" x14ac:dyDescent="0.25">
      <c r="P129"/>
      <c r="Q129"/>
    </row>
    <row r="130" spans="16:17" x14ac:dyDescent="0.25">
      <c r="P130"/>
      <c r="Q130"/>
    </row>
    <row r="131" spans="16:17" x14ac:dyDescent="0.25">
      <c r="P131"/>
      <c r="Q131"/>
    </row>
    <row r="132" spans="16:17" x14ac:dyDescent="0.25">
      <c r="P132"/>
      <c r="Q132"/>
    </row>
    <row r="133" spans="16:17" x14ac:dyDescent="0.25">
      <c r="P133"/>
      <c r="Q133"/>
    </row>
    <row r="134" spans="16:17" x14ac:dyDescent="0.25">
      <c r="P134"/>
      <c r="Q134"/>
    </row>
    <row r="135" spans="16:17" x14ac:dyDescent="0.25">
      <c r="P135"/>
      <c r="Q135"/>
    </row>
    <row r="136" spans="16:17" x14ac:dyDescent="0.25">
      <c r="P136"/>
      <c r="Q136"/>
    </row>
    <row r="137" spans="16:17" x14ac:dyDescent="0.25">
      <c r="P137"/>
      <c r="Q137"/>
    </row>
    <row r="138" spans="16:17" x14ac:dyDescent="0.25">
      <c r="P138"/>
      <c r="Q138"/>
    </row>
    <row r="139" spans="16:17" x14ac:dyDescent="0.25">
      <c r="P139"/>
      <c r="Q139"/>
    </row>
    <row r="140" spans="16:17" x14ac:dyDescent="0.25">
      <c r="P140"/>
      <c r="Q140"/>
    </row>
    <row r="141" spans="16:17" x14ac:dyDescent="0.25">
      <c r="P141"/>
      <c r="Q141"/>
    </row>
    <row r="142" spans="16:17" x14ac:dyDescent="0.25">
      <c r="P142"/>
      <c r="Q142"/>
    </row>
    <row r="143" spans="16:17" x14ac:dyDescent="0.25">
      <c r="P143"/>
      <c r="Q143"/>
    </row>
    <row r="144" spans="16:17" x14ac:dyDescent="0.25">
      <c r="P144"/>
      <c r="Q144"/>
    </row>
    <row r="145" spans="16:17" x14ac:dyDescent="0.25">
      <c r="P145"/>
      <c r="Q145"/>
    </row>
    <row r="146" spans="16:17" x14ac:dyDescent="0.25">
      <c r="P146"/>
      <c r="Q146"/>
    </row>
    <row r="147" spans="16:17" x14ac:dyDescent="0.25">
      <c r="P147"/>
      <c r="Q147"/>
    </row>
    <row r="148" spans="16:17" x14ac:dyDescent="0.25">
      <c r="P148"/>
      <c r="Q148"/>
    </row>
    <row r="149" spans="16:17" x14ac:dyDescent="0.25">
      <c r="P149"/>
      <c r="Q149"/>
    </row>
  </sheetData>
  <sortState xmlns:xlrd2="http://schemas.microsoft.com/office/spreadsheetml/2017/richdata2" ref="A2:Q76">
    <sortCondition descending="1" ref="E2:E76"/>
  </sortState>
  <phoneticPr fontId="2" type="noConversion"/>
  <printOptions gridLines="1"/>
  <pageMargins left="0.75" right="0.75" top="1" bottom="1" header="0.5" footer="0.5"/>
  <pageSetup orientation="landscape" r:id="rId1"/>
  <headerFooter alignWithMargins="0">
    <oddFooter>&amp;LNoodles Database - Page &amp;P of &amp;N&amp;CPrinted &amp;D&amp;RDoane/Seward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4D8B8-165F-4E23-B175-700A1C4B250F}">
  <dimension ref="A1:R78"/>
  <sheetViews>
    <sheetView tabSelected="1" workbookViewId="0">
      <selection activeCell="I3" sqref="I3"/>
    </sheetView>
  </sheetViews>
  <sheetFormatPr defaultRowHeight="12.5" x14ac:dyDescent="0.25"/>
  <cols>
    <col min="3" max="3" width="22.54296875" customWidth="1"/>
    <col min="4" max="4" width="16.81640625" customWidth="1"/>
    <col min="5" max="5" width="16.1796875" customWidth="1"/>
    <col min="7" max="7" width="19.36328125" customWidth="1"/>
    <col min="8" max="8" width="14.6328125" customWidth="1"/>
    <col min="9" max="9" width="21.1796875" customWidth="1"/>
    <col min="10" max="10" width="15.26953125" customWidth="1"/>
    <col min="11" max="11" width="16.08984375" customWidth="1"/>
    <col min="12" max="12" width="15" customWidth="1"/>
    <col min="13" max="13" width="14.81640625" customWidth="1"/>
    <col min="14" max="14" width="15.6328125" customWidth="1"/>
    <col min="15" max="15" width="14.54296875" customWidth="1"/>
    <col min="16" max="16" width="15.1796875" customWidth="1"/>
    <col min="17" max="17" width="14.453125" customWidth="1"/>
    <col min="18" max="18" width="19.7265625" customWidth="1"/>
  </cols>
  <sheetData>
    <row r="1" spans="1:18" ht="37.5" x14ac:dyDescent="0.25">
      <c r="A1" s="30" t="s">
        <v>23</v>
      </c>
      <c r="B1" s="30" t="s">
        <v>5</v>
      </c>
      <c r="C1" s="30" t="s">
        <v>6</v>
      </c>
      <c r="D1" s="30" t="s">
        <v>7</v>
      </c>
      <c r="E1" s="40" t="s">
        <v>8</v>
      </c>
      <c r="F1" s="30" t="s">
        <v>9</v>
      </c>
      <c r="G1" s="5" t="s">
        <v>22</v>
      </c>
      <c r="H1" s="44" t="s">
        <v>10</v>
      </c>
      <c r="I1" s="30" t="s">
        <v>21</v>
      </c>
      <c r="J1" s="39" t="s">
        <v>20</v>
      </c>
      <c r="K1" s="45" t="s">
        <v>35</v>
      </c>
      <c r="L1" s="30" t="s">
        <v>34</v>
      </c>
      <c r="M1" s="30" t="s">
        <v>38</v>
      </c>
      <c r="N1" s="30" t="s">
        <v>44</v>
      </c>
      <c r="O1" s="30" t="s">
        <v>43</v>
      </c>
      <c r="P1" s="30" t="s">
        <v>39</v>
      </c>
      <c r="Q1" s="30" t="s">
        <v>40</v>
      </c>
      <c r="R1" s="30" t="s">
        <v>47</v>
      </c>
    </row>
    <row r="2" spans="1:18" ht="39" x14ac:dyDescent="0.25">
      <c r="A2" s="20" t="s">
        <v>11</v>
      </c>
      <c r="B2" s="18" t="s">
        <v>12</v>
      </c>
      <c r="C2" s="9" t="s">
        <v>13</v>
      </c>
      <c r="D2" s="9" t="s">
        <v>14</v>
      </c>
      <c r="E2" s="41" t="s">
        <v>15</v>
      </c>
      <c r="F2" s="9" t="s">
        <v>16</v>
      </c>
      <c r="G2" s="43" t="s">
        <v>17</v>
      </c>
      <c r="H2" s="9" t="s">
        <v>18</v>
      </c>
      <c r="I2" s="9" t="s">
        <v>19</v>
      </c>
      <c r="J2" s="10" t="s">
        <v>33</v>
      </c>
      <c r="K2" s="18" t="s">
        <v>36</v>
      </c>
      <c r="L2" s="29" t="s">
        <v>37</v>
      </c>
      <c r="M2" s="20" t="s">
        <v>38</v>
      </c>
      <c r="N2" s="20" t="s">
        <v>42</v>
      </c>
      <c r="O2" s="20" t="s">
        <v>46</v>
      </c>
      <c r="P2" s="20" t="s">
        <v>39</v>
      </c>
      <c r="Q2" s="20" t="s">
        <v>41</v>
      </c>
      <c r="R2" s="20" t="s">
        <v>45</v>
      </c>
    </row>
    <row r="3" spans="1:18" x14ac:dyDescent="0.25">
      <c r="A3" s="21">
        <v>64</v>
      </c>
      <c r="B3" s="19">
        <v>2700</v>
      </c>
      <c r="C3" s="11">
        <v>6.95</v>
      </c>
      <c r="D3" s="12">
        <v>14.09</v>
      </c>
      <c r="E3" s="42">
        <v>3.38</v>
      </c>
      <c r="F3" s="14">
        <v>234.04</v>
      </c>
      <c r="G3" s="46">
        <v>72453</v>
      </c>
      <c r="H3" s="16">
        <v>36</v>
      </c>
      <c r="I3" s="17">
        <v>23</v>
      </c>
      <c r="J3" s="33">
        <f t="shared" ref="J3:J34" si="0">B3*F3/1000</f>
        <v>631.90800000000002</v>
      </c>
      <c r="K3" s="28">
        <v>62</v>
      </c>
      <c r="L3" s="31">
        <v>72</v>
      </c>
      <c r="M3" s="32">
        <v>78</v>
      </c>
      <c r="N3" s="34">
        <f t="shared" ref="N3:N14" si="1">O3*4</f>
        <v>481.36</v>
      </c>
      <c r="O3" s="34">
        <v>120.34</v>
      </c>
      <c r="P3" s="32">
        <v>75</v>
      </c>
      <c r="Q3" s="32">
        <v>9</v>
      </c>
      <c r="R3" s="32">
        <v>80</v>
      </c>
    </row>
    <row r="4" spans="1:18" x14ac:dyDescent="0.25">
      <c r="A4" s="21">
        <v>44</v>
      </c>
      <c r="B4" s="19">
        <v>3200</v>
      </c>
      <c r="C4" s="11">
        <v>7.17</v>
      </c>
      <c r="D4" s="12">
        <v>8.5399999999999991</v>
      </c>
      <c r="E4" s="42">
        <v>3.07</v>
      </c>
      <c r="F4" s="14">
        <v>312.14999999999998</v>
      </c>
      <c r="G4" s="46">
        <v>52766</v>
      </c>
      <c r="H4" s="16">
        <v>33</v>
      </c>
      <c r="I4" s="17">
        <v>17</v>
      </c>
      <c r="J4" s="33">
        <f t="shared" si="0"/>
        <v>998.87999999999988</v>
      </c>
      <c r="K4" s="28">
        <v>60</v>
      </c>
      <c r="L4" s="31">
        <v>64</v>
      </c>
      <c r="M4" s="32">
        <v>65</v>
      </c>
      <c r="N4" s="34">
        <f t="shared" si="1"/>
        <v>840.37706304939604</v>
      </c>
      <c r="O4" s="34">
        <v>210.09426576234901</v>
      </c>
      <c r="P4" s="32">
        <v>62</v>
      </c>
      <c r="Q4" s="32">
        <v>10</v>
      </c>
      <c r="R4" s="32">
        <v>73</v>
      </c>
    </row>
    <row r="5" spans="1:18" x14ac:dyDescent="0.25">
      <c r="A5" s="21">
        <v>6</v>
      </c>
      <c r="B5" s="19">
        <v>2806</v>
      </c>
      <c r="C5" s="11">
        <v>6.93</v>
      </c>
      <c r="D5" s="12">
        <v>-1.94</v>
      </c>
      <c r="E5" s="42">
        <v>2.96</v>
      </c>
      <c r="F5" s="14">
        <v>264.64</v>
      </c>
      <c r="G5" s="46">
        <v>41562</v>
      </c>
      <c r="H5" s="16">
        <v>36.299999999999997</v>
      </c>
      <c r="I5" s="17">
        <v>30</v>
      </c>
      <c r="J5" s="33">
        <f t="shared" si="0"/>
        <v>742.57983999999999</v>
      </c>
      <c r="K5" s="28">
        <v>55</v>
      </c>
      <c r="L5" s="31">
        <v>60</v>
      </c>
      <c r="M5" s="32">
        <v>61</v>
      </c>
      <c r="N5" s="34">
        <f t="shared" si="1"/>
        <v>1310.164430080388</v>
      </c>
      <c r="O5" s="34">
        <v>327.541107520097</v>
      </c>
      <c r="P5" s="32">
        <v>60</v>
      </c>
      <c r="Q5" s="32">
        <v>9</v>
      </c>
      <c r="R5" s="32">
        <v>70</v>
      </c>
    </row>
    <row r="6" spans="1:18" x14ac:dyDescent="0.25">
      <c r="A6" s="21">
        <v>42</v>
      </c>
      <c r="B6" s="19">
        <v>2487</v>
      </c>
      <c r="C6" s="11">
        <v>7.05</v>
      </c>
      <c r="D6" s="12">
        <v>8.08</v>
      </c>
      <c r="E6" s="42">
        <v>2.83</v>
      </c>
      <c r="F6" s="14">
        <v>380.34</v>
      </c>
      <c r="G6" s="46">
        <v>79701</v>
      </c>
      <c r="H6" s="16">
        <v>35</v>
      </c>
      <c r="I6" s="17">
        <v>39</v>
      </c>
      <c r="J6" s="33">
        <f t="shared" si="0"/>
        <v>945.90557999999999</v>
      </c>
      <c r="K6" s="28">
        <v>56</v>
      </c>
      <c r="L6" s="31">
        <v>54</v>
      </c>
      <c r="M6" s="32">
        <v>56</v>
      </c>
      <c r="N6" s="34">
        <f t="shared" si="1"/>
        <v>1043.579444469792</v>
      </c>
      <c r="O6" s="34">
        <v>260.89486111744799</v>
      </c>
      <c r="P6" s="32">
        <v>57</v>
      </c>
      <c r="Q6" s="32">
        <v>9</v>
      </c>
      <c r="R6" s="32">
        <v>65</v>
      </c>
    </row>
    <row r="7" spans="1:18" x14ac:dyDescent="0.25">
      <c r="A7" s="21">
        <v>71</v>
      </c>
      <c r="B7" s="19">
        <v>2400</v>
      </c>
      <c r="C7" s="11">
        <v>6.79</v>
      </c>
      <c r="D7" s="12">
        <v>18.43</v>
      </c>
      <c r="E7" s="42">
        <v>2.81</v>
      </c>
      <c r="F7" s="14">
        <v>245.74</v>
      </c>
      <c r="G7" s="46">
        <v>80597</v>
      </c>
      <c r="H7" s="16">
        <v>32.4</v>
      </c>
      <c r="I7" s="17">
        <v>27</v>
      </c>
      <c r="J7" s="33">
        <f t="shared" si="0"/>
        <v>589.77599999999995</v>
      </c>
      <c r="K7" s="28">
        <v>46</v>
      </c>
      <c r="L7" s="31">
        <v>54</v>
      </c>
      <c r="M7" s="32">
        <v>50</v>
      </c>
      <c r="N7" s="34">
        <f t="shared" si="1"/>
        <v>1227.6431316340961</v>
      </c>
      <c r="O7" s="34">
        <v>306.91078290852403</v>
      </c>
      <c r="P7" s="32">
        <v>55</v>
      </c>
      <c r="Q7" s="32">
        <v>10</v>
      </c>
      <c r="R7" s="32">
        <v>64</v>
      </c>
    </row>
    <row r="8" spans="1:18" x14ac:dyDescent="0.25">
      <c r="A8" s="21">
        <v>33</v>
      </c>
      <c r="B8" s="19">
        <v>2600</v>
      </c>
      <c r="C8" s="11">
        <v>7.07</v>
      </c>
      <c r="D8" s="12">
        <v>6.13</v>
      </c>
      <c r="E8" s="42">
        <v>2.73</v>
      </c>
      <c r="F8" s="14">
        <v>274.3</v>
      </c>
      <c r="G8" s="46">
        <v>45723</v>
      </c>
      <c r="H8" s="16">
        <v>31.3</v>
      </c>
      <c r="I8" s="17">
        <v>18</v>
      </c>
      <c r="J8" s="33">
        <f t="shared" si="0"/>
        <v>713.18</v>
      </c>
      <c r="K8" s="28">
        <v>53</v>
      </c>
      <c r="L8" s="31">
        <v>50</v>
      </c>
      <c r="M8" s="32">
        <v>50</v>
      </c>
      <c r="N8" s="34">
        <f t="shared" si="1"/>
        <v>1725.1075067697641</v>
      </c>
      <c r="O8" s="34">
        <v>431.27687669244102</v>
      </c>
      <c r="P8" s="32">
        <v>54</v>
      </c>
      <c r="Q8" s="32">
        <v>10</v>
      </c>
      <c r="R8" s="32">
        <v>61</v>
      </c>
    </row>
    <row r="9" spans="1:18" x14ac:dyDescent="0.25">
      <c r="A9" s="21">
        <v>16</v>
      </c>
      <c r="B9" s="19">
        <v>2500</v>
      </c>
      <c r="C9" s="11">
        <v>7.18</v>
      </c>
      <c r="D9" s="12">
        <v>2.12</v>
      </c>
      <c r="E9" s="42">
        <v>2.64</v>
      </c>
      <c r="F9" s="14">
        <v>368.73</v>
      </c>
      <c r="G9" s="46">
        <v>45206</v>
      </c>
      <c r="H9" s="16">
        <v>32.4</v>
      </c>
      <c r="I9" s="17">
        <v>17</v>
      </c>
      <c r="J9" s="33">
        <f t="shared" si="0"/>
        <v>921.82500000000005</v>
      </c>
      <c r="K9" s="28">
        <v>52</v>
      </c>
      <c r="L9" s="31">
        <v>52</v>
      </c>
      <c r="M9" s="32">
        <v>47</v>
      </c>
      <c r="N9" s="34">
        <f t="shared" si="1"/>
        <v>756.93873297112395</v>
      </c>
      <c r="O9" s="34">
        <v>189.23468324278099</v>
      </c>
      <c r="P9" s="32">
        <v>54</v>
      </c>
      <c r="Q9" s="32">
        <v>9</v>
      </c>
      <c r="R9" s="32">
        <v>60</v>
      </c>
    </row>
    <row r="10" spans="1:18" x14ac:dyDescent="0.25">
      <c r="A10" s="21">
        <v>26</v>
      </c>
      <c r="B10" s="19">
        <v>2154</v>
      </c>
      <c r="C10" s="11">
        <v>6.54</v>
      </c>
      <c r="D10" s="12">
        <v>5.14</v>
      </c>
      <c r="E10" s="42">
        <v>2.63</v>
      </c>
      <c r="F10" s="14">
        <v>562.12</v>
      </c>
      <c r="G10" s="46">
        <v>88162</v>
      </c>
      <c r="H10" s="16">
        <v>37.700000000000003</v>
      </c>
      <c r="I10" s="17">
        <v>37</v>
      </c>
      <c r="J10" s="33">
        <f t="shared" si="0"/>
        <v>1210.80648</v>
      </c>
      <c r="K10" s="28">
        <v>53</v>
      </c>
      <c r="L10" s="31">
        <v>51</v>
      </c>
      <c r="M10" s="32">
        <v>51</v>
      </c>
      <c r="N10" s="34">
        <f t="shared" si="1"/>
        <v>1385.056325552164</v>
      </c>
      <c r="O10" s="34">
        <v>346.26408138804101</v>
      </c>
      <c r="P10" s="32">
        <v>45</v>
      </c>
      <c r="Q10" s="32">
        <v>9</v>
      </c>
      <c r="R10" s="32">
        <v>56</v>
      </c>
    </row>
    <row r="11" spans="1:18" x14ac:dyDescent="0.25">
      <c r="A11" s="21">
        <v>58</v>
      </c>
      <c r="B11" s="19">
        <v>2600</v>
      </c>
      <c r="C11" s="11">
        <v>6.92</v>
      </c>
      <c r="D11" s="12">
        <v>11.73</v>
      </c>
      <c r="E11" s="42">
        <v>2.56</v>
      </c>
      <c r="F11" s="14">
        <v>551.58000000000004</v>
      </c>
      <c r="G11" s="46">
        <v>61857</v>
      </c>
      <c r="H11" s="16">
        <v>33.799999999999997</v>
      </c>
      <c r="I11" s="17">
        <v>31</v>
      </c>
      <c r="J11" s="33">
        <f t="shared" si="0"/>
        <v>1434.1079999999999</v>
      </c>
      <c r="K11" s="28">
        <v>32</v>
      </c>
      <c r="L11" s="31">
        <v>51</v>
      </c>
      <c r="M11" s="32">
        <v>50</v>
      </c>
      <c r="N11" s="34">
        <f t="shared" si="1"/>
        <v>1753.9832552583241</v>
      </c>
      <c r="O11" s="34">
        <v>438.49581381458103</v>
      </c>
      <c r="P11" s="32">
        <v>55</v>
      </c>
      <c r="Q11" s="32">
        <v>10</v>
      </c>
      <c r="R11" s="32">
        <v>55</v>
      </c>
    </row>
    <row r="12" spans="1:18" x14ac:dyDescent="0.25">
      <c r="A12" s="21">
        <v>2</v>
      </c>
      <c r="B12" s="19">
        <v>2604</v>
      </c>
      <c r="C12" s="11">
        <v>7.57</v>
      </c>
      <c r="D12" s="12">
        <v>-4.01</v>
      </c>
      <c r="E12" s="42">
        <v>2.54</v>
      </c>
      <c r="F12" s="14">
        <v>209.93</v>
      </c>
      <c r="G12" s="46">
        <v>51888</v>
      </c>
      <c r="H12" s="16">
        <v>41.2</v>
      </c>
      <c r="I12" s="17">
        <v>20</v>
      </c>
      <c r="J12" s="33">
        <f t="shared" si="0"/>
        <v>546.65771999999993</v>
      </c>
      <c r="K12" s="27">
        <v>40</v>
      </c>
      <c r="L12" s="31">
        <v>50</v>
      </c>
      <c r="M12" s="32">
        <v>54</v>
      </c>
      <c r="N12" s="34">
        <f t="shared" si="1"/>
        <v>1548.5545287702439</v>
      </c>
      <c r="O12" s="34">
        <v>387.13863219256098</v>
      </c>
      <c r="P12" s="32">
        <v>56</v>
      </c>
      <c r="Q12" s="32">
        <v>10</v>
      </c>
      <c r="R12" s="32">
        <v>53</v>
      </c>
    </row>
    <row r="13" spans="1:18" x14ac:dyDescent="0.25">
      <c r="A13" s="21">
        <v>48</v>
      </c>
      <c r="B13" s="19">
        <v>2625</v>
      </c>
      <c r="C13" s="11">
        <v>6.96</v>
      </c>
      <c r="D13" s="12">
        <v>8.7899999999999991</v>
      </c>
      <c r="E13" s="42">
        <v>2.5099999999999998</v>
      </c>
      <c r="F13" s="14">
        <v>431.93</v>
      </c>
      <c r="G13" s="46">
        <v>85366</v>
      </c>
      <c r="H13" s="16">
        <v>32.1</v>
      </c>
      <c r="I13" s="17">
        <v>29</v>
      </c>
      <c r="J13" s="33">
        <f t="shared" si="0"/>
        <v>1133.8162500000001</v>
      </c>
      <c r="K13" s="28">
        <v>42</v>
      </c>
      <c r="L13" s="31">
        <v>48</v>
      </c>
      <c r="M13" s="32">
        <v>53</v>
      </c>
      <c r="N13" s="34">
        <f t="shared" si="1"/>
        <v>1813.2322840896959</v>
      </c>
      <c r="O13" s="34">
        <v>453.30807102242397</v>
      </c>
      <c r="P13" s="32">
        <v>48</v>
      </c>
      <c r="Q13" s="32">
        <v>9</v>
      </c>
      <c r="R13" s="32">
        <v>53</v>
      </c>
    </row>
    <row r="14" spans="1:18" x14ac:dyDescent="0.25">
      <c r="A14" s="21">
        <v>25</v>
      </c>
      <c r="B14" s="19">
        <v>2430</v>
      </c>
      <c r="C14" s="11">
        <v>7.05</v>
      </c>
      <c r="D14" s="12">
        <v>5.09</v>
      </c>
      <c r="E14" s="42">
        <v>2.5</v>
      </c>
      <c r="F14" s="14">
        <v>393.9</v>
      </c>
      <c r="G14" s="46">
        <v>51893</v>
      </c>
      <c r="H14" s="16">
        <v>40.6</v>
      </c>
      <c r="I14" s="17">
        <v>21</v>
      </c>
      <c r="J14" s="33">
        <f t="shared" si="0"/>
        <v>957.17700000000002</v>
      </c>
      <c r="K14" s="28">
        <v>42</v>
      </c>
      <c r="L14" s="31">
        <v>48</v>
      </c>
      <c r="M14" s="32">
        <v>53</v>
      </c>
      <c r="N14" s="34">
        <f t="shared" si="1"/>
        <v>1241.3555513388801</v>
      </c>
      <c r="O14" s="34">
        <v>310.33888783472003</v>
      </c>
      <c r="P14" s="32">
        <v>47</v>
      </c>
      <c r="Q14" s="32">
        <v>9</v>
      </c>
      <c r="R14" s="32">
        <v>60</v>
      </c>
    </row>
    <row r="15" spans="1:18" x14ac:dyDescent="0.25">
      <c r="A15" s="21">
        <v>5</v>
      </c>
      <c r="B15" s="19">
        <v>2500</v>
      </c>
      <c r="C15" s="11">
        <v>7.04</v>
      </c>
      <c r="D15" s="12">
        <v>-3.3</v>
      </c>
      <c r="E15" s="42">
        <v>2.48</v>
      </c>
      <c r="F15" s="14">
        <v>399.2</v>
      </c>
      <c r="G15" s="46">
        <v>50999</v>
      </c>
      <c r="H15" s="16">
        <v>31.5</v>
      </c>
      <c r="I15" s="17">
        <v>18</v>
      </c>
      <c r="J15" s="33">
        <f t="shared" si="0"/>
        <v>998</v>
      </c>
      <c r="K15" s="28">
        <v>38</v>
      </c>
      <c r="L15" s="31">
        <v>46</v>
      </c>
      <c r="M15" s="32">
        <v>50</v>
      </c>
      <c r="N15" s="34">
        <f t="shared" ref="N15:N47" si="2">O15*3</f>
        <v>1452.746609955954</v>
      </c>
      <c r="O15" s="34">
        <v>484.24886998531798</v>
      </c>
      <c r="P15" s="32">
        <v>41</v>
      </c>
      <c r="Q15" s="32">
        <v>8</v>
      </c>
      <c r="R15" s="32">
        <v>62</v>
      </c>
    </row>
    <row r="16" spans="1:18" x14ac:dyDescent="0.25">
      <c r="A16" s="21">
        <v>12</v>
      </c>
      <c r="B16" s="19">
        <v>2408</v>
      </c>
      <c r="C16" s="11">
        <v>7.03</v>
      </c>
      <c r="D16" s="12">
        <v>0.55000000000000004</v>
      </c>
      <c r="E16" s="42">
        <v>2.4700000000000002</v>
      </c>
      <c r="F16" s="14">
        <v>581.09</v>
      </c>
      <c r="G16" s="46">
        <v>41245</v>
      </c>
      <c r="H16" s="16">
        <v>32.200000000000003</v>
      </c>
      <c r="I16" s="17">
        <v>23</v>
      </c>
      <c r="J16" s="33">
        <f t="shared" si="0"/>
        <v>1399.2647199999999</v>
      </c>
      <c r="K16" s="28">
        <v>41</v>
      </c>
      <c r="L16" s="31">
        <v>46</v>
      </c>
      <c r="M16" s="32">
        <v>48</v>
      </c>
      <c r="N16" s="34">
        <f t="shared" si="2"/>
        <v>534.86804899379695</v>
      </c>
      <c r="O16" s="34">
        <v>178.289349664599</v>
      </c>
      <c r="P16" s="32">
        <v>38</v>
      </c>
      <c r="Q16" s="32">
        <v>8</v>
      </c>
      <c r="R16" s="32">
        <v>60</v>
      </c>
    </row>
    <row r="17" spans="1:18" x14ac:dyDescent="0.25">
      <c r="A17" s="21">
        <v>70</v>
      </c>
      <c r="B17" s="19">
        <v>2000</v>
      </c>
      <c r="C17" s="11">
        <v>6.93</v>
      </c>
      <c r="D17" s="12">
        <v>17.23</v>
      </c>
      <c r="E17" s="42">
        <v>2.41</v>
      </c>
      <c r="F17" s="14">
        <v>403.78</v>
      </c>
      <c r="G17" s="46">
        <v>67403</v>
      </c>
      <c r="H17" s="16">
        <v>36.200000000000003</v>
      </c>
      <c r="I17" s="17">
        <v>19</v>
      </c>
      <c r="J17" s="33">
        <f t="shared" si="0"/>
        <v>807.56</v>
      </c>
      <c r="K17" s="28">
        <v>40</v>
      </c>
      <c r="L17" s="31">
        <v>42</v>
      </c>
      <c r="M17" s="32">
        <v>45</v>
      </c>
      <c r="N17" s="34">
        <f t="shared" si="2"/>
        <v>523.69743896610896</v>
      </c>
      <c r="O17" s="34">
        <v>174.56581298870299</v>
      </c>
      <c r="P17" s="32">
        <v>32</v>
      </c>
      <c r="Q17" s="32">
        <v>7</v>
      </c>
      <c r="R17" s="32">
        <v>55</v>
      </c>
    </row>
    <row r="18" spans="1:18" x14ac:dyDescent="0.25">
      <c r="A18" s="21">
        <v>51</v>
      </c>
      <c r="B18" s="19">
        <v>2741</v>
      </c>
      <c r="C18" s="11">
        <v>6.71</v>
      </c>
      <c r="D18" s="12">
        <v>9.4700000000000006</v>
      </c>
      <c r="E18" s="42">
        <v>2.41</v>
      </c>
      <c r="F18" s="14">
        <v>414.36</v>
      </c>
      <c r="G18" s="46">
        <v>77449</v>
      </c>
      <c r="H18" s="16">
        <v>37</v>
      </c>
      <c r="I18" s="17">
        <v>34</v>
      </c>
      <c r="J18" s="33">
        <f t="shared" si="0"/>
        <v>1135.7607600000001</v>
      </c>
      <c r="K18" s="28">
        <v>36</v>
      </c>
      <c r="L18" s="31">
        <v>45</v>
      </c>
      <c r="M18" s="32">
        <v>44</v>
      </c>
      <c r="N18" s="34">
        <f t="shared" si="2"/>
        <v>534.86804899379695</v>
      </c>
      <c r="O18" s="34">
        <v>178.289349664599</v>
      </c>
      <c r="P18" s="32">
        <v>35</v>
      </c>
      <c r="Q18" s="32">
        <v>8</v>
      </c>
      <c r="R18" s="32">
        <v>57</v>
      </c>
    </row>
    <row r="19" spans="1:18" x14ac:dyDescent="0.25">
      <c r="A19" s="21">
        <v>43</v>
      </c>
      <c r="B19" s="19">
        <v>2629</v>
      </c>
      <c r="C19" s="11">
        <v>6.9</v>
      </c>
      <c r="D19" s="12">
        <v>8.27</v>
      </c>
      <c r="E19" s="42">
        <v>2.37</v>
      </c>
      <c r="F19" s="14">
        <v>398.12</v>
      </c>
      <c r="G19" s="46">
        <v>77115</v>
      </c>
      <c r="H19" s="16">
        <v>35.9</v>
      </c>
      <c r="I19" s="17">
        <v>30</v>
      </c>
      <c r="J19" s="33">
        <f t="shared" si="0"/>
        <v>1046.6574800000001</v>
      </c>
      <c r="K19" s="28">
        <v>27</v>
      </c>
      <c r="L19" s="31">
        <v>42</v>
      </c>
      <c r="M19" s="32">
        <v>40</v>
      </c>
      <c r="N19" s="34">
        <f t="shared" si="2"/>
        <v>571.71710083748098</v>
      </c>
      <c r="O19" s="34">
        <v>190.57236694582701</v>
      </c>
      <c r="P19" s="32">
        <v>34</v>
      </c>
      <c r="Q19" s="32">
        <v>7</v>
      </c>
      <c r="R19" s="32">
        <v>52</v>
      </c>
    </row>
    <row r="20" spans="1:18" x14ac:dyDescent="0.25">
      <c r="A20" s="21">
        <v>10</v>
      </c>
      <c r="B20" s="19">
        <v>1990</v>
      </c>
      <c r="C20" s="11">
        <v>6.77</v>
      </c>
      <c r="D20" s="12">
        <v>-0.17</v>
      </c>
      <c r="E20" s="42">
        <v>2.34</v>
      </c>
      <c r="F20" s="14">
        <v>638.82000000000005</v>
      </c>
      <c r="G20" s="46">
        <v>79070</v>
      </c>
      <c r="H20" s="16">
        <v>34.799999999999997</v>
      </c>
      <c r="I20" s="17">
        <v>29</v>
      </c>
      <c r="J20" s="33">
        <f t="shared" si="0"/>
        <v>1271.2518</v>
      </c>
      <c r="K20" s="28">
        <v>25</v>
      </c>
      <c r="L20" s="31">
        <v>40</v>
      </c>
      <c r="M20" s="32">
        <v>41</v>
      </c>
      <c r="N20" s="34">
        <f t="shared" si="2"/>
        <v>626.41589986868098</v>
      </c>
      <c r="O20" s="34">
        <v>208.805299956227</v>
      </c>
      <c r="P20" s="32">
        <v>31</v>
      </c>
      <c r="Q20" s="32">
        <v>8</v>
      </c>
      <c r="R20" s="32">
        <v>51</v>
      </c>
    </row>
    <row r="21" spans="1:18" x14ac:dyDescent="0.25">
      <c r="A21" s="21">
        <v>8</v>
      </c>
      <c r="B21" s="19">
        <v>2400</v>
      </c>
      <c r="C21" s="11">
        <v>7.13</v>
      </c>
      <c r="D21" s="12">
        <v>-0.37</v>
      </c>
      <c r="E21" s="42">
        <v>2.34</v>
      </c>
      <c r="F21" s="14">
        <v>642.25</v>
      </c>
      <c r="G21" s="46">
        <v>50975</v>
      </c>
      <c r="H21" s="16">
        <v>37.6</v>
      </c>
      <c r="I21" s="17">
        <v>33</v>
      </c>
      <c r="J21" s="33">
        <f t="shared" si="0"/>
        <v>1541.4</v>
      </c>
      <c r="K21" s="28">
        <v>25</v>
      </c>
      <c r="L21" s="31">
        <v>39</v>
      </c>
      <c r="M21" s="32">
        <v>44</v>
      </c>
      <c r="N21" s="34">
        <f t="shared" si="2"/>
        <v>553.41690501325797</v>
      </c>
      <c r="O21" s="34">
        <v>184.472301671086</v>
      </c>
      <c r="P21" s="32">
        <v>34</v>
      </c>
      <c r="Q21" s="32">
        <v>7</v>
      </c>
      <c r="R21" s="32">
        <v>50</v>
      </c>
    </row>
    <row r="22" spans="1:18" x14ac:dyDescent="0.25">
      <c r="A22" s="21">
        <v>7</v>
      </c>
      <c r="B22" s="19">
        <v>2250</v>
      </c>
      <c r="C22" s="11">
        <v>7.11</v>
      </c>
      <c r="D22" s="12">
        <v>-0.77</v>
      </c>
      <c r="E22" s="42">
        <v>2.2799999999999998</v>
      </c>
      <c r="F22" s="14">
        <v>571.59</v>
      </c>
      <c r="G22" s="46">
        <v>44196</v>
      </c>
      <c r="H22" s="16">
        <v>35.1</v>
      </c>
      <c r="I22" s="17">
        <v>14</v>
      </c>
      <c r="J22" s="33">
        <f t="shared" si="0"/>
        <v>1286.0775000000001</v>
      </c>
      <c r="K22" s="28">
        <v>34</v>
      </c>
      <c r="L22" s="31">
        <v>37</v>
      </c>
      <c r="M22" s="32">
        <v>43</v>
      </c>
      <c r="N22" s="34">
        <f t="shared" si="2"/>
        <v>907.28164273234199</v>
      </c>
      <c r="O22" s="34">
        <v>302.427214244114</v>
      </c>
      <c r="P22" s="32">
        <v>31</v>
      </c>
      <c r="Q22" s="32">
        <v>8</v>
      </c>
      <c r="R22" s="32">
        <v>56</v>
      </c>
    </row>
    <row r="23" spans="1:18" x14ac:dyDescent="0.25">
      <c r="A23" s="21">
        <v>40</v>
      </c>
      <c r="B23" s="19">
        <v>2800</v>
      </c>
      <c r="C23" s="11">
        <v>6.76</v>
      </c>
      <c r="D23" s="12">
        <v>7.67</v>
      </c>
      <c r="E23" s="42">
        <v>2.23</v>
      </c>
      <c r="F23" s="14">
        <v>468.84</v>
      </c>
      <c r="G23" s="46">
        <v>75151</v>
      </c>
      <c r="H23" s="16">
        <v>33.9</v>
      </c>
      <c r="I23" s="17">
        <v>28</v>
      </c>
      <c r="J23" s="33">
        <f t="shared" si="0"/>
        <v>1312.752</v>
      </c>
      <c r="K23" s="28">
        <v>25</v>
      </c>
      <c r="L23" s="31">
        <v>41</v>
      </c>
      <c r="M23" s="32">
        <v>42</v>
      </c>
      <c r="N23" s="34">
        <f t="shared" si="2"/>
        <v>937.38722231313307</v>
      </c>
      <c r="O23" s="34">
        <v>312.46240743771102</v>
      </c>
      <c r="P23" s="32">
        <v>30</v>
      </c>
      <c r="Q23" s="32">
        <v>8</v>
      </c>
      <c r="R23" s="32">
        <v>56</v>
      </c>
    </row>
    <row r="24" spans="1:18" x14ac:dyDescent="0.25">
      <c r="A24" s="21">
        <v>68</v>
      </c>
      <c r="B24" s="19">
        <v>2718</v>
      </c>
      <c r="C24" s="11">
        <v>7.25</v>
      </c>
      <c r="D24" s="12">
        <v>15.42</v>
      </c>
      <c r="E24" s="42">
        <v>2.2200000000000002</v>
      </c>
      <c r="F24" s="14">
        <v>361.14</v>
      </c>
      <c r="G24" s="46">
        <v>39650</v>
      </c>
      <c r="H24" s="16">
        <v>32.9</v>
      </c>
      <c r="I24" s="17">
        <v>18</v>
      </c>
      <c r="J24" s="33">
        <f t="shared" si="0"/>
        <v>981.57852000000003</v>
      </c>
      <c r="K24" s="28">
        <v>35</v>
      </c>
      <c r="L24" s="31">
        <v>43</v>
      </c>
      <c r="M24" s="32">
        <v>45</v>
      </c>
      <c r="N24" s="34">
        <f t="shared" si="2"/>
        <v>571.33192367708102</v>
      </c>
      <c r="O24" s="34">
        <v>190.443974559027</v>
      </c>
      <c r="P24" s="32">
        <v>27</v>
      </c>
      <c r="Q24" s="32">
        <v>7</v>
      </c>
      <c r="R24" s="32">
        <v>49</v>
      </c>
    </row>
    <row r="25" spans="1:18" x14ac:dyDescent="0.25">
      <c r="A25" s="21">
        <v>17</v>
      </c>
      <c r="B25" s="19">
        <v>2668</v>
      </c>
      <c r="C25" s="11">
        <v>7.35</v>
      </c>
      <c r="D25" s="12">
        <v>2.84</v>
      </c>
      <c r="E25" s="42">
        <v>2.2200000000000002</v>
      </c>
      <c r="F25" s="14">
        <v>351.47</v>
      </c>
      <c r="G25" s="46">
        <v>79312</v>
      </c>
      <c r="H25" s="16">
        <v>32.1</v>
      </c>
      <c r="I25" s="17">
        <v>37</v>
      </c>
      <c r="J25" s="33">
        <f t="shared" si="0"/>
        <v>937.72196000000008</v>
      </c>
      <c r="K25" s="28">
        <v>35</v>
      </c>
      <c r="L25" s="31">
        <v>41</v>
      </c>
      <c r="M25" s="32">
        <v>42</v>
      </c>
      <c r="N25" s="34">
        <f t="shared" si="2"/>
        <v>466.50581518892398</v>
      </c>
      <c r="O25" s="34">
        <v>155.50193839630799</v>
      </c>
      <c r="P25" s="32">
        <v>27</v>
      </c>
      <c r="Q25" s="32">
        <v>7</v>
      </c>
      <c r="R25" s="32">
        <v>54</v>
      </c>
    </row>
    <row r="26" spans="1:18" x14ac:dyDescent="0.25">
      <c r="A26" s="21">
        <v>9</v>
      </c>
      <c r="B26" s="19">
        <v>2709</v>
      </c>
      <c r="C26" s="11">
        <v>6.58</v>
      </c>
      <c r="D26" s="12">
        <v>-0.25</v>
      </c>
      <c r="E26" s="42">
        <v>2.2000000000000002</v>
      </c>
      <c r="F26" s="14">
        <v>461.45</v>
      </c>
      <c r="G26" s="46">
        <v>72808</v>
      </c>
      <c r="H26" s="16">
        <v>34.9</v>
      </c>
      <c r="I26" s="17">
        <v>28</v>
      </c>
      <c r="J26" s="33">
        <f t="shared" si="0"/>
        <v>1250.0680500000001</v>
      </c>
      <c r="K26" s="28">
        <v>27</v>
      </c>
      <c r="L26" s="31">
        <v>43</v>
      </c>
      <c r="M26" s="32">
        <v>40</v>
      </c>
      <c r="N26" s="34">
        <f t="shared" si="2"/>
        <v>1172.993592461931</v>
      </c>
      <c r="O26" s="34">
        <v>390.99786415397699</v>
      </c>
      <c r="P26" s="32">
        <v>26</v>
      </c>
      <c r="Q26" s="32">
        <v>8</v>
      </c>
      <c r="R26" s="32">
        <v>53</v>
      </c>
    </row>
    <row r="27" spans="1:18" x14ac:dyDescent="0.25">
      <c r="A27" s="21">
        <v>57</v>
      </c>
      <c r="B27" s="19">
        <v>2500</v>
      </c>
      <c r="C27" s="11">
        <v>6.76</v>
      </c>
      <c r="D27" s="12">
        <v>11.51</v>
      </c>
      <c r="E27" s="42">
        <v>2.19</v>
      </c>
      <c r="F27" s="14">
        <v>517.4</v>
      </c>
      <c r="G27" s="46">
        <v>76375</v>
      </c>
      <c r="H27" s="16">
        <v>36.700000000000003</v>
      </c>
      <c r="I27" s="17">
        <v>28</v>
      </c>
      <c r="J27" s="33">
        <f t="shared" si="0"/>
        <v>1293.5</v>
      </c>
      <c r="K27" s="28">
        <v>24</v>
      </c>
      <c r="L27" s="31">
        <v>36</v>
      </c>
      <c r="M27" s="32">
        <v>38</v>
      </c>
      <c r="N27" s="34">
        <f t="shared" si="2"/>
        <v>542.69308934181902</v>
      </c>
      <c r="O27" s="34">
        <v>180.89769644727301</v>
      </c>
      <c r="P27" s="32">
        <v>23</v>
      </c>
      <c r="Q27" s="32">
        <v>8</v>
      </c>
      <c r="R27" s="32">
        <v>52</v>
      </c>
    </row>
    <row r="28" spans="1:18" x14ac:dyDescent="0.25">
      <c r="A28" s="21">
        <v>45</v>
      </c>
      <c r="B28" s="19">
        <v>2335</v>
      </c>
      <c r="C28" s="11">
        <v>6.75</v>
      </c>
      <c r="D28" s="12">
        <v>8.58</v>
      </c>
      <c r="E28" s="42">
        <v>2.19</v>
      </c>
      <c r="F28" s="14">
        <v>452.16</v>
      </c>
      <c r="G28" s="46">
        <v>32929</v>
      </c>
      <c r="H28" s="16">
        <v>30.9</v>
      </c>
      <c r="I28" s="17">
        <v>22</v>
      </c>
      <c r="J28" s="33">
        <f t="shared" si="0"/>
        <v>1055.7936000000002</v>
      </c>
      <c r="K28" s="28">
        <v>25</v>
      </c>
      <c r="L28" s="31">
        <v>42</v>
      </c>
      <c r="M28" s="32">
        <v>41</v>
      </c>
      <c r="N28" s="34">
        <f t="shared" si="2"/>
        <v>593.460008423913</v>
      </c>
      <c r="O28" s="34">
        <v>197.82000280797101</v>
      </c>
      <c r="P28" s="32">
        <v>23</v>
      </c>
      <c r="Q28" s="32">
        <v>8</v>
      </c>
      <c r="R28" s="32">
        <v>52</v>
      </c>
    </row>
    <row r="29" spans="1:18" x14ac:dyDescent="0.25">
      <c r="A29" s="21">
        <v>52</v>
      </c>
      <c r="B29" s="19">
        <v>2500</v>
      </c>
      <c r="C29" s="11">
        <v>6.82</v>
      </c>
      <c r="D29" s="12">
        <v>10.17</v>
      </c>
      <c r="E29" s="42">
        <v>2.17</v>
      </c>
      <c r="F29" s="14">
        <v>481.11</v>
      </c>
      <c r="G29" s="46">
        <v>56822</v>
      </c>
      <c r="H29" s="16">
        <v>34.700000000000003</v>
      </c>
      <c r="I29" s="17">
        <v>25</v>
      </c>
      <c r="J29" s="33">
        <f t="shared" si="0"/>
        <v>1202.7750000000001</v>
      </c>
      <c r="K29" s="28">
        <v>30</v>
      </c>
      <c r="L29" s="31">
        <v>37</v>
      </c>
      <c r="M29" s="32">
        <v>45</v>
      </c>
      <c r="N29" s="34">
        <f t="shared" si="2"/>
        <v>315.34999363929603</v>
      </c>
      <c r="O29" s="34">
        <v>105.11666454643201</v>
      </c>
      <c r="P29" s="32">
        <v>24</v>
      </c>
      <c r="Q29" s="32">
        <v>7</v>
      </c>
      <c r="R29" s="32">
        <v>51</v>
      </c>
    </row>
    <row r="30" spans="1:18" x14ac:dyDescent="0.25">
      <c r="A30" s="21">
        <v>20</v>
      </c>
      <c r="B30" s="19">
        <v>2998</v>
      </c>
      <c r="C30" s="11">
        <v>6.85</v>
      </c>
      <c r="D30" s="12">
        <v>4.04</v>
      </c>
      <c r="E30" s="42">
        <v>2.17</v>
      </c>
      <c r="F30" s="14">
        <v>357.45</v>
      </c>
      <c r="G30" s="46">
        <v>70024</v>
      </c>
      <c r="H30" s="16">
        <v>33.9</v>
      </c>
      <c r="I30" s="17">
        <v>34</v>
      </c>
      <c r="J30" s="33">
        <f t="shared" si="0"/>
        <v>1071.6351</v>
      </c>
      <c r="K30" s="28">
        <v>27</v>
      </c>
      <c r="L30" s="31">
        <v>35</v>
      </c>
      <c r="M30" s="32">
        <v>40</v>
      </c>
      <c r="N30" s="34">
        <f t="shared" si="2"/>
        <v>1019.156766618837</v>
      </c>
      <c r="O30" s="34">
        <v>339.71892220627899</v>
      </c>
      <c r="P30" s="32">
        <v>20</v>
      </c>
      <c r="Q30" s="32">
        <v>8</v>
      </c>
      <c r="R30" s="32">
        <v>50</v>
      </c>
    </row>
    <row r="31" spans="1:18" x14ac:dyDescent="0.25">
      <c r="A31" s="21">
        <v>59</v>
      </c>
      <c r="B31" s="19">
        <v>2800</v>
      </c>
      <c r="C31" s="11">
        <v>6.73</v>
      </c>
      <c r="D31" s="12">
        <v>11.83</v>
      </c>
      <c r="E31" s="42">
        <v>2.16</v>
      </c>
      <c r="F31" s="14">
        <v>386.81</v>
      </c>
      <c r="G31" s="46">
        <v>61312</v>
      </c>
      <c r="H31" s="16">
        <v>34.200000000000003</v>
      </c>
      <c r="I31" s="17">
        <v>16</v>
      </c>
      <c r="J31" s="33">
        <f t="shared" si="0"/>
        <v>1083.068</v>
      </c>
      <c r="K31" s="28">
        <v>25</v>
      </c>
      <c r="L31" s="31">
        <v>45</v>
      </c>
      <c r="M31" s="32">
        <v>42</v>
      </c>
      <c r="N31" s="34">
        <f t="shared" si="2"/>
        <v>1444.271330256558</v>
      </c>
      <c r="O31" s="34">
        <v>481.42377675218597</v>
      </c>
      <c r="P31" s="32">
        <v>20</v>
      </c>
      <c r="Q31" s="32">
        <v>8</v>
      </c>
      <c r="R31" s="32">
        <v>48</v>
      </c>
    </row>
    <row r="32" spans="1:18" x14ac:dyDescent="0.25">
      <c r="A32" s="21">
        <v>53</v>
      </c>
      <c r="B32" s="19">
        <v>2450</v>
      </c>
      <c r="C32" s="11">
        <v>6.58</v>
      </c>
      <c r="D32" s="12">
        <v>10.66</v>
      </c>
      <c r="E32" s="42">
        <v>2.16</v>
      </c>
      <c r="F32" s="14">
        <v>538.05999999999995</v>
      </c>
      <c r="G32" s="46">
        <v>80470</v>
      </c>
      <c r="H32" s="16">
        <v>36.4</v>
      </c>
      <c r="I32" s="17">
        <v>30</v>
      </c>
      <c r="J32" s="33">
        <f t="shared" si="0"/>
        <v>1318.2469999999998</v>
      </c>
      <c r="K32" s="28">
        <v>32</v>
      </c>
      <c r="L32" s="31">
        <v>46</v>
      </c>
      <c r="M32" s="32">
        <v>43</v>
      </c>
      <c r="N32" s="34">
        <f t="shared" si="2"/>
        <v>761.51030074732796</v>
      </c>
      <c r="O32" s="34">
        <v>253.836766915776</v>
      </c>
      <c r="P32" s="32">
        <v>20</v>
      </c>
      <c r="Q32" s="32">
        <v>7</v>
      </c>
      <c r="R32" s="32">
        <v>48</v>
      </c>
    </row>
    <row r="33" spans="1:18" x14ac:dyDescent="0.25">
      <c r="A33" s="21">
        <v>41</v>
      </c>
      <c r="B33" s="19">
        <v>2520</v>
      </c>
      <c r="C33" s="11">
        <v>7.11</v>
      </c>
      <c r="D33" s="12">
        <v>7.91</v>
      </c>
      <c r="E33" s="42">
        <v>2.15</v>
      </c>
      <c r="F33" s="14">
        <v>352.57</v>
      </c>
      <c r="G33" s="46">
        <v>93876</v>
      </c>
      <c r="H33" s="16">
        <v>35</v>
      </c>
      <c r="I33" s="17">
        <v>40</v>
      </c>
      <c r="J33" s="33">
        <f t="shared" si="0"/>
        <v>888.47640000000001</v>
      </c>
      <c r="K33" s="28">
        <v>24</v>
      </c>
      <c r="L33" s="31">
        <v>45</v>
      </c>
      <c r="M33" s="32">
        <v>45</v>
      </c>
      <c r="N33" s="34">
        <f t="shared" si="2"/>
        <v>1390.6113203500649</v>
      </c>
      <c r="O33" s="34">
        <v>463.537106783355</v>
      </c>
      <c r="P33" s="32">
        <v>24</v>
      </c>
      <c r="Q33" s="32">
        <v>8</v>
      </c>
      <c r="R33" s="32">
        <v>45</v>
      </c>
    </row>
    <row r="34" spans="1:18" x14ac:dyDescent="0.25">
      <c r="A34" s="21">
        <v>66</v>
      </c>
      <c r="B34" s="19">
        <v>2500</v>
      </c>
      <c r="C34" s="11">
        <v>6.95</v>
      </c>
      <c r="D34" s="12">
        <v>14.6</v>
      </c>
      <c r="E34" s="42">
        <v>2.14</v>
      </c>
      <c r="F34" s="14">
        <v>348.47</v>
      </c>
      <c r="G34" s="46">
        <v>42631</v>
      </c>
      <c r="H34" s="16">
        <v>24.7</v>
      </c>
      <c r="I34" s="17">
        <v>25</v>
      </c>
      <c r="J34" s="33">
        <f t="shared" si="0"/>
        <v>871.17500000000007</v>
      </c>
      <c r="K34" s="28">
        <v>33</v>
      </c>
      <c r="L34" s="31">
        <v>43</v>
      </c>
      <c r="M34" s="32">
        <v>45</v>
      </c>
      <c r="N34" s="34">
        <f t="shared" si="2"/>
        <v>1280.8634736232921</v>
      </c>
      <c r="O34" s="34">
        <v>426.95449120776402</v>
      </c>
      <c r="P34" s="32">
        <v>25</v>
      </c>
      <c r="Q34" s="32">
        <v>7</v>
      </c>
      <c r="R34" s="32">
        <v>46</v>
      </c>
    </row>
    <row r="35" spans="1:18" x14ac:dyDescent="0.25">
      <c r="A35" s="21">
        <v>31</v>
      </c>
      <c r="B35" s="19">
        <v>3653</v>
      </c>
      <c r="C35" s="11">
        <v>6.84</v>
      </c>
      <c r="D35" s="12">
        <v>6.08</v>
      </c>
      <c r="E35" s="42">
        <v>2.13</v>
      </c>
      <c r="F35" s="14">
        <v>413.08</v>
      </c>
      <c r="G35" s="46">
        <v>49956</v>
      </c>
      <c r="H35" s="16">
        <v>37.1</v>
      </c>
      <c r="I35" s="17">
        <v>28</v>
      </c>
      <c r="J35" s="33">
        <f t="shared" ref="J35:J66" si="3">B35*F35/1000</f>
        <v>1508.9812400000001</v>
      </c>
      <c r="K35" s="28">
        <v>27</v>
      </c>
      <c r="L35" s="31">
        <v>41</v>
      </c>
      <c r="M35" s="32">
        <v>46</v>
      </c>
      <c r="N35" s="34">
        <f t="shared" si="2"/>
        <v>1126.174397070027</v>
      </c>
      <c r="O35" s="34">
        <v>375.391465690009</v>
      </c>
      <c r="P35" s="32">
        <v>24</v>
      </c>
      <c r="Q35" s="32">
        <v>8</v>
      </c>
      <c r="R35" s="32">
        <v>47</v>
      </c>
    </row>
    <row r="36" spans="1:18" x14ac:dyDescent="0.25">
      <c r="A36" s="21">
        <v>24</v>
      </c>
      <c r="B36" s="19">
        <v>2764</v>
      </c>
      <c r="C36" s="11">
        <v>7.07</v>
      </c>
      <c r="D36" s="12">
        <v>4.58</v>
      </c>
      <c r="E36" s="42">
        <v>2.13</v>
      </c>
      <c r="F36" s="14">
        <v>303.95</v>
      </c>
      <c r="G36" s="46">
        <v>46593</v>
      </c>
      <c r="H36" s="16">
        <v>37.9</v>
      </c>
      <c r="I36" s="17">
        <v>26</v>
      </c>
      <c r="J36" s="33">
        <f t="shared" si="3"/>
        <v>840.11779999999987</v>
      </c>
      <c r="K36" s="28">
        <v>25</v>
      </c>
      <c r="L36" s="31">
        <v>43</v>
      </c>
      <c r="M36" s="32">
        <v>40</v>
      </c>
      <c r="N36" s="34">
        <f t="shared" si="2"/>
        <v>1258.3632138303569</v>
      </c>
      <c r="O36" s="34">
        <v>419.45440461011901</v>
      </c>
      <c r="P36" s="32">
        <v>26</v>
      </c>
      <c r="Q36" s="32">
        <v>8</v>
      </c>
      <c r="R36" s="32">
        <v>46</v>
      </c>
    </row>
    <row r="37" spans="1:18" x14ac:dyDescent="0.25">
      <c r="A37" s="21">
        <v>60</v>
      </c>
      <c r="B37" s="19">
        <v>2986</v>
      </c>
      <c r="C37" s="11">
        <v>6.91</v>
      </c>
      <c r="D37" s="12">
        <v>11.95</v>
      </c>
      <c r="E37" s="42">
        <v>2.1</v>
      </c>
      <c r="F37" s="14">
        <v>427.5</v>
      </c>
      <c r="G37" s="46">
        <v>72040</v>
      </c>
      <c r="H37" s="16">
        <v>39</v>
      </c>
      <c r="I37" s="17">
        <v>31</v>
      </c>
      <c r="J37" s="33">
        <f t="shared" si="3"/>
        <v>1276.5150000000001</v>
      </c>
      <c r="K37" s="28">
        <v>26</v>
      </c>
      <c r="L37" s="31">
        <v>45</v>
      </c>
      <c r="M37" s="32">
        <v>43</v>
      </c>
      <c r="N37" s="34">
        <f t="shared" si="2"/>
        <v>836.14634890481398</v>
      </c>
      <c r="O37" s="34">
        <v>278.71544963493801</v>
      </c>
      <c r="P37" s="32">
        <v>21</v>
      </c>
      <c r="Q37" s="32">
        <v>7</v>
      </c>
      <c r="R37" s="32">
        <v>45</v>
      </c>
    </row>
    <row r="38" spans="1:18" x14ac:dyDescent="0.25">
      <c r="A38" s="21">
        <v>11</v>
      </c>
      <c r="B38" s="19">
        <v>2392</v>
      </c>
      <c r="C38" s="11">
        <v>6.66</v>
      </c>
      <c r="D38" s="12">
        <v>0.47</v>
      </c>
      <c r="E38" s="42">
        <v>2.09</v>
      </c>
      <c r="F38" s="14">
        <v>484.38</v>
      </c>
      <c r="G38" s="46">
        <v>78497</v>
      </c>
      <c r="H38" s="16">
        <v>36.200000000000003</v>
      </c>
      <c r="I38" s="17">
        <v>39</v>
      </c>
      <c r="J38" s="33">
        <f t="shared" si="3"/>
        <v>1158.63696</v>
      </c>
      <c r="K38" s="28">
        <v>32</v>
      </c>
      <c r="L38" s="31">
        <v>43</v>
      </c>
      <c r="M38" s="32">
        <v>44</v>
      </c>
      <c r="N38" s="34">
        <f t="shared" si="2"/>
        <v>722.65685960741996</v>
      </c>
      <c r="O38" s="34">
        <v>240.88561986913999</v>
      </c>
      <c r="P38" s="32">
        <v>21</v>
      </c>
      <c r="Q38" s="32">
        <v>7</v>
      </c>
      <c r="R38" s="32">
        <v>45</v>
      </c>
    </row>
    <row r="39" spans="1:18" x14ac:dyDescent="0.25">
      <c r="A39" s="21">
        <v>32</v>
      </c>
      <c r="B39" s="19">
        <v>2440</v>
      </c>
      <c r="C39" s="11">
        <v>6.94</v>
      </c>
      <c r="D39" s="12">
        <v>6.08</v>
      </c>
      <c r="E39" s="42">
        <v>2.08</v>
      </c>
      <c r="F39" s="14">
        <v>625.22</v>
      </c>
      <c r="G39" s="46">
        <v>45990</v>
      </c>
      <c r="H39" s="16">
        <v>30.3</v>
      </c>
      <c r="I39" s="17">
        <v>36</v>
      </c>
      <c r="J39" s="33">
        <f t="shared" si="3"/>
        <v>1525.5368000000001</v>
      </c>
      <c r="K39" s="28">
        <v>24</v>
      </c>
      <c r="L39" s="31">
        <v>44</v>
      </c>
      <c r="M39" s="32">
        <v>45</v>
      </c>
      <c r="N39" s="34">
        <f t="shared" si="2"/>
        <v>576.66408113565296</v>
      </c>
      <c r="O39" s="34">
        <v>192.221360378551</v>
      </c>
      <c r="P39" s="32">
        <v>22</v>
      </c>
      <c r="Q39" s="32">
        <v>8</v>
      </c>
      <c r="R39" s="32">
        <v>43</v>
      </c>
    </row>
    <row r="40" spans="1:18" x14ac:dyDescent="0.25">
      <c r="A40" s="21">
        <v>18</v>
      </c>
      <c r="B40" s="19">
        <v>2517</v>
      </c>
      <c r="C40" s="11">
        <v>6.95</v>
      </c>
      <c r="D40" s="12">
        <v>2.88</v>
      </c>
      <c r="E40" s="42">
        <v>2.0699999999999998</v>
      </c>
      <c r="F40" s="14">
        <v>458.24</v>
      </c>
      <c r="G40" s="46">
        <v>37345</v>
      </c>
      <c r="H40" s="16">
        <v>31.4</v>
      </c>
      <c r="I40" s="17">
        <v>22</v>
      </c>
      <c r="J40" s="33">
        <f t="shared" si="3"/>
        <v>1153.3900800000001</v>
      </c>
      <c r="K40" s="28">
        <v>32</v>
      </c>
      <c r="L40" s="31">
        <v>40</v>
      </c>
      <c r="M40" s="32">
        <v>44</v>
      </c>
      <c r="N40" s="34">
        <f t="shared" si="2"/>
        <v>596.94057024179392</v>
      </c>
      <c r="O40" s="34">
        <v>198.98019008059799</v>
      </c>
      <c r="P40" s="32">
        <v>19</v>
      </c>
      <c r="Q40" s="32">
        <v>8</v>
      </c>
      <c r="R40" s="32">
        <v>42</v>
      </c>
    </row>
    <row r="41" spans="1:18" x14ac:dyDescent="0.25">
      <c r="A41" s="21">
        <v>1</v>
      </c>
      <c r="B41" s="19">
        <v>2354</v>
      </c>
      <c r="C41" s="11">
        <v>6.81</v>
      </c>
      <c r="D41" s="12">
        <v>-8.31</v>
      </c>
      <c r="E41" s="42">
        <v>2.0699999999999998</v>
      </c>
      <c r="F41" s="14">
        <v>701.97</v>
      </c>
      <c r="G41" s="46">
        <v>45177</v>
      </c>
      <c r="H41" s="16">
        <v>34.4</v>
      </c>
      <c r="I41" s="17">
        <v>31</v>
      </c>
      <c r="J41" s="33">
        <f t="shared" si="3"/>
        <v>1652.4373800000001</v>
      </c>
      <c r="K41" s="26">
        <v>20</v>
      </c>
      <c r="L41" s="31">
        <v>42</v>
      </c>
      <c r="M41" s="32">
        <v>42</v>
      </c>
      <c r="N41" s="34">
        <f t="shared" si="2"/>
        <v>336.01936957047599</v>
      </c>
      <c r="O41" s="34">
        <v>112.00645652349201</v>
      </c>
      <c r="P41" s="32">
        <v>20</v>
      </c>
      <c r="Q41" s="32">
        <v>7</v>
      </c>
      <c r="R41" s="32">
        <v>42</v>
      </c>
    </row>
    <row r="42" spans="1:18" x14ac:dyDescent="0.25">
      <c r="A42" s="21">
        <v>4</v>
      </c>
      <c r="B42" s="19">
        <v>2340</v>
      </c>
      <c r="C42" s="11">
        <v>7.13</v>
      </c>
      <c r="D42" s="12">
        <v>-3.39</v>
      </c>
      <c r="E42" s="42">
        <v>2.06</v>
      </c>
      <c r="F42" s="14">
        <v>443.04</v>
      </c>
      <c r="G42" s="46">
        <v>66081</v>
      </c>
      <c r="H42" s="16">
        <v>35.4</v>
      </c>
      <c r="I42" s="17">
        <v>29</v>
      </c>
      <c r="J42" s="33">
        <f t="shared" si="3"/>
        <v>1036.7136</v>
      </c>
      <c r="K42" s="28">
        <v>35</v>
      </c>
      <c r="L42" s="31">
        <v>38</v>
      </c>
      <c r="M42" s="32">
        <v>42</v>
      </c>
      <c r="N42" s="34">
        <f t="shared" si="2"/>
        <v>796.99525334535304</v>
      </c>
      <c r="O42" s="34">
        <v>265.66508444845101</v>
      </c>
      <c r="P42" s="32">
        <v>17</v>
      </c>
      <c r="Q42" s="32">
        <v>7</v>
      </c>
      <c r="R42" s="32">
        <v>41</v>
      </c>
    </row>
    <row r="43" spans="1:18" x14ac:dyDescent="0.25">
      <c r="A43" s="21">
        <v>30</v>
      </c>
      <c r="B43" s="19">
        <v>2500</v>
      </c>
      <c r="C43" s="11">
        <v>7.03</v>
      </c>
      <c r="D43" s="12">
        <v>5.98</v>
      </c>
      <c r="E43" s="42">
        <v>2.0499999999999998</v>
      </c>
      <c r="F43" s="14">
        <v>235.81</v>
      </c>
      <c r="G43" s="46">
        <v>48163</v>
      </c>
      <c r="H43" s="16">
        <v>26.4</v>
      </c>
      <c r="I43" s="17">
        <v>16</v>
      </c>
      <c r="J43" s="33">
        <f t="shared" si="3"/>
        <v>589.52499999999998</v>
      </c>
      <c r="K43" s="28">
        <v>26</v>
      </c>
      <c r="L43" s="31">
        <v>37</v>
      </c>
      <c r="M43" s="32">
        <v>40</v>
      </c>
      <c r="N43" s="34">
        <f t="shared" si="2"/>
        <v>1181.0993755871011</v>
      </c>
      <c r="O43" s="34">
        <v>393.69979186236702</v>
      </c>
      <c r="P43" s="32">
        <v>17</v>
      </c>
      <c r="Q43" s="32">
        <v>8</v>
      </c>
      <c r="R43" s="32">
        <v>41</v>
      </c>
    </row>
    <row r="44" spans="1:18" x14ac:dyDescent="0.25">
      <c r="A44" s="21">
        <v>35</v>
      </c>
      <c r="B44" s="19">
        <v>2800</v>
      </c>
      <c r="C44" s="11">
        <v>7.08</v>
      </c>
      <c r="D44" s="12">
        <v>6.57</v>
      </c>
      <c r="E44" s="42">
        <v>2.04</v>
      </c>
      <c r="F44" s="14">
        <v>178.56</v>
      </c>
      <c r="G44" s="46">
        <v>68711</v>
      </c>
      <c r="H44" s="16">
        <v>32.9</v>
      </c>
      <c r="I44" s="17">
        <v>18</v>
      </c>
      <c r="J44" s="33">
        <f t="shared" si="3"/>
        <v>499.96800000000002</v>
      </c>
      <c r="K44" s="28">
        <v>20</v>
      </c>
      <c r="L44" s="31">
        <v>34</v>
      </c>
      <c r="M44" s="32">
        <v>34</v>
      </c>
      <c r="N44" s="34">
        <f t="shared" si="2"/>
        <v>863.01057644906109</v>
      </c>
      <c r="O44" s="34">
        <v>287.67019214968701</v>
      </c>
      <c r="P44" s="32">
        <v>21</v>
      </c>
      <c r="Q44" s="32">
        <v>7</v>
      </c>
      <c r="R44" s="32">
        <v>38</v>
      </c>
    </row>
    <row r="45" spans="1:18" x14ac:dyDescent="0.25">
      <c r="A45" s="21">
        <v>28</v>
      </c>
      <c r="B45" s="19">
        <v>2430</v>
      </c>
      <c r="C45" s="11">
        <v>6.91</v>
      </c>
      <c r="D45" s="12">
        <v>5.86</v>
      </c>
      <c r="E45" s="42">
        <v>2.04</v>
      </c>
      <c r="F45" s="14">
        <v>310.07</v>
      </c>
      <c r="G45" s="46">
        <v>114353</v>
      </c>
      <c r="H45" s="16">
        <v>40.9</v>
      </c>
      <c r="I45" s="17">
        <v>34</v>
      </c>
      <c r="J45" s="33">
        <f t="shared" si="3"/>
        <v>753.4701</v>
      </c>
      <c r="K45" s="28">
        <v>24</v>
      </c>
      <c r="L45" s="31">
        <v>36</v>
      </c>
      <c r="M45" s="32">
        <v>37</v>
      </c>
      <c r="N45" s="34">
        <f t="shared" si="2"/>
        <v>959.22433380581992</v>
      </c>
      <c r="O45" s="34">
        <v>319.74144460193997</v>
      </c>
      <c r="P45" s="32">
        <v>21</v>
      </c>
      <c r="Q45" s="32">
        <v>7</v>
      </c>
      <c r="R45" s="32">
        <v>41</v>
      </c>
    </row>
    <row r="46" spans="1:18" x14ac:dyDescent="0.25">
      <c r="A46" s="21">
        <v>13</v>
      </c>
      <c r="B46" s="19">
        <v>2627</v>
      </c>
      <c r="C46" s="11">
        <v>7.03</v>
      </c>
      <c r="D46" s="12">
        <v>0.77</v>
      </c>
      <c r="E46" s="42">
        <v>2.04</v>
      </c>
      <c r="F46" s="14">
        <v>267.70999999999998</v>
      </c>
      <c r="G46" s="46">
        <v>33003</v>
      </c>
      <c r="H46" s="16">
        <v>30.9</v>
      </c>
      <c r="I46" s="17">
        <v>22</v>
      </c>
      <c r="J46" s="33">
        <f t="shared" si="3"/>
        <v>703.27416999999991</v>
      </c>
      <c r="K46" s="28">
        <v>33</v>
      </c>
      <c r="L46" s="31">
        <v>36</v>
      </c>
      <c r="M46" s="32">
        <v>40</v>
      </c>
      <c r="N46" s="34">
        <f t="shared" si="2"/>
        <v>986.39662260263401</v>
      </c>
      <c r="O46" s="34">
        <v>328.798874200878</v>
      </c>
      <c r="P46" s="32">
        <v>20</v>
      </c>
      <c r="Q46" s="32">
        <v>8</v>
      </c>
      <c r="R46" s="32">
        <v>40</v>
      </c>
    </row>
    <row r="47" spans="1:18" x14ac:dyDescent="0.25">
      <c r="A47" s="21">
        <v>14</v>
      </c>
      <c r="B47" s="19">
        <v>2500</v>
      </c>
      <c r="C47" s="11">
        <v>7</v>
      </c>
      <c r="D47" s="12">
        <v>1.92</v>
      </c>
      <c r="E47" s="42">
        <v>2.02</v>
      </c>
      <c r="F47" s="14">
        <v>572.84</v>
      </c>
      <c r="G47" s="46">
        <v>90988</v>
      </c>
      <c r="H47" s="16">
        <v>37.700000000000003</v>
      </c>
      <c r="I47" s="17">
        <v>37</v>
      </c>
      <c r="J47" s="33">
        <f t="shared" si="3"/>
        <v>1432.1</v>
      </c>
      <c r="K47" s="28">
        <v>30</v>
      </c>
      <c r="L47" s="31">
        <v>32</v>
      </c>
      <c r="M47" s="32">
        <v>45</v>
      </c>
      <c r="N47" s="34">
        <f t="shared" si="2"/>
        <v>1100.808824971065</v>
      </c>
      <c r="O47" s="34">
        <v>366.936274990355</v>
      </c>
      <c r="P47" s="32">
        <v>17</v>
      </c>
      <c r="Q47" s="32">
        <v>7</v>
      </c>
      <c r="R47" s="32">
        <v>36</v>
      </c>
    </row>
    <row r="48" spans="1:18" x14ac:dyDescent="0.25">
      <c r="A48" s="21">
        <v>15</v>
      </c>
      <c r="B48" s="19">
        <v>1986</v>
      </c>
      <c r="C48" s="11">
        <v>7.38</v>
      </c>
      <c r="D48" s="12">
        <v>2.0499999999999998</v>
      </c>
      <c r="E48" s="42">
        <v>2.0099999999999998</v>
      </c>
      <c r="F48" s="14">
        <v>586.48</v>
      </c>
      <c r="G48" s="46">
        <v>37950</v>
      </c>
      <c r="H48" s="16">
        <v>34.299999999999997</v>
      </c>
      <c r="I48" s="17">
        <v>24</v>
      </c>
      <c r="J48" s="33">
        <f t="shared" si="3"/>
        <v>1164.74928</v>
      </c>
      <c r="K48" s="28">
        <v>31</v>
      </c>
      <c r="L48" s="31">
        <v>42</v>
      </c>
      <c r="M48" s="32">
        <v>43</v>
      </c>
      <c r="N48" s="34">
        <f t="shared" ref="N48:N66" si="4">O48*2</f>
        <v>454.33655500905201</v>
      </c>
      <c r="O48" s="34">
        <v>227.168277504526</v>
      </c>
      <c r="P48" s="32">
        <v>23</v>
      </c>
      <c r="Q48" s="32">
        <v>8</v>
      </c>
      <c r="R48" s="32">
        <v>36</v>
      </c>
    </row>
    <row r="49" spans="1:18" x14ac:dyDescent="0.25">
      <c r="A49" s="21">
        <v>22</v>
      </c>
      <c r="B49" s="19">
        <v>2300</v>
      </c>
      <c r="C49" s="11">
        <v>6.99</v>
      </c>
      <c r="D49" s="12">
        <v>4.05</v>
      </c>
      <c r="E49" s="42">
        <v>2</v>
      </c>
      <c r="F49" s="14">
        <v>680.8</v>
      </c>
      <c r="G49" s="46">
        <v>54932</v>
      </c>
      <c r="H49" s="16">
        <v>35.9</v>
      </c>
      <c r="I49" s="17">
        <v>20</v>
      </c>
      <c r="J49" s="33">
        <f t="shared" si="3"/>
        <v>1565.84</v>
      </c>
      <c r="K49" s="28">
        <v>23</v>
      </c>
      <c r="L49" s="31">
        <v>35</v>
      </c>
      <c r="M49" s="32">
        <v>41</v>
      </c>
      <c r="N49" s="34">
        <f t="shared" si="4"/>
        <v>711.10984106785395</v>
      </c>
      <c r="O49" s="34">
        <v>355.55492053392697</v>
      </c>
      <c r="P49" s="32">
        <v>24</v>
      </c>
      <c r="Q49" s="32">
        <v>8</v>
      </c>
      <c r="R49" s="32">
        <v>35</v>
      </c>
    </row>
    <row r="50" spans="1:18" x14ac:dyDescent="0.25">
      <c r="A50" s="21">
        <v>61</v>
      </c>
      <c r="B50" s="19">
        <v>2223</v>
      </c>
      <c r="C50" s="11">
        <v>6.77</v>
      </c>
      <c r="D50" s="12">
        <v>12.47</v>
      </c>
      <c r="E50" s="42">
        <v>1.98</v>
      </c>
      <c r="F50" s="14">
        <v>453.94</v>
      </c>
      <c r="G50" s="46">
        <v>92414</v>
      </c>
      <c r="H50" s="16">
        <v>34.9</v>
      </c>
      <c r="I50" s="17">
        <v>40</v>
      </c>
      <c r="J50" s="33">
        <f t="shared" si="3"/>
        <v>1009.10862</v>
      </c>
      <c r="K50" s="28">
        <v>21</v>
      </c>
      <c r="L50" s="31">
        <v>30</v>
      </c>
      <c r="M50" s="32">
        <v>39</v>
      </c>
      <c r="N50" s="34">
        <f t="shared" si="4"/>
        <v>887.873439520396</v>
      </c>
      <c r="O50" s="34">
        <v>443.936719760198</v>
      </c>
      <c r="P50" s="32">
        <v>25</v>
      </c>
      <c r="Q50" s="32">
        <v>7</v>
      </c>
      <c r="R50" s="32">
        <v>37</v>
      </c>
    </row>
    <row r="51" spans="1:18" x14ac:dyDescent="0.25">
      <c r="A51" s="21">
        <v>50</v>
      </c>
      <c r="B51" s="19">
        <v>2625</v>
      </c>
      <c r="C51" s="11">
        <v>6.96</v>
      </c>
      <c r="D51" s="12">
        <v>9.1199999999999992</v>
      </c>
      <c r="E51" s="42">
        <v>1.98</v>
      </c>
      <c r="F51" s="14">
        <v>400.53</v>
      </c>
      <c r="G51" s="46">
        <v>56077</v>
      </c>
      <c r="H51" s="16">
        <v>38</v>
      </c>
      <c r="I51" s="17">
        <v>19</v>
      </c>
      <c r="J51" s="33">
        <f t="shared" si="3"/>
        <v>1051.3912499999999</v>
      </c>
      <c r="K51" s="28">
        <v>22</v>
      </c>
      <c r="L51" s="31">
        <v>35</v>
      </c>
      <c r="M51" s="32">
        <v>37</v>
      </c>
      <c r="N51" s="34">
        <f t="shared" si="4"/>
        <v>381.01823712171603</v>
      </c>
      <c r="O51" s="34">
        <v>190.50911856085801</v>
      </c>
      <c r="P51" s="32">
        <v>24</v>
      </c>
      <c r="Q51" s="32">
        <v>8</v>
      </c>
      <c r="R51" s="32">
        <v>35</v>
      </c>
    </row>
    <row r="52" spans="1:18" x14ac:dyDescent="0.25">
      <c r="A52" s="21">
        <v>37</v>
      </c>
      <c r="B52" s="19">
        <v>2450</v>
      </c>
      <c r="C52" s="11">
        <v>6.81</v>
      </c>
      <c r="D52" s="12">
        <v>6.94</v>
      </c>
      <c r="E52" s="42">
        <v>1.95</v>
      </c>
      <c r="F52" s="14">
        <v>329.09</v>
      </c>
      <c r="G52" s="46">
        <v>39329</v>
      </c>
      <c r="H52" s="16">
        <v>29.3</v>
      </c>
      <c r="I52" s="17">
        <v>22</v>
      </c>
      <c r="J52" s="33">
        <f t="shared" si="3"/>
        <v>806.27049999999986</v>
      </c>
      <c r="K52" s="28">
        <v>18</v>
      </c>
      <c r="L52" s="31">
        <v>26</v>
      </c>
      <c r="M52" s="32">
        <v>32</v>
      </c>
      <c r="N52" s="34">
        <f t="shared" si="4"/>
        <v>333.29323429723797</v>
      </c>
      <c r="O52" s="34">
        <v>166.64661714861899</v>
      </c>
      <c r="P52" s="32">
        <v>22</v>
      </c>
      <c r="Q52" s="32">
        <v>8</v>
      </c>
      <c r="R52" s="32">
        <v>42</v>
      </c>
    </row>
    <row r="53" spans="1:18" x14ac:dyDescent="0.25">
      <c r="A53" s="21">
        <v>34</v>
      </c>
      <c r="B53" s="19">
        <v>2160</v>
      </c>
      <c r="C53" s="11">
        <v>7</v>
      </c>
      <c r="D53" s="12">
        <v>6.27</v>
      </c>
      <c r="E53" s="42">
        <v>1.95</v>
      </c>
      <c r="F53" s="14">
        <v>542.62</v>
      </c>
      <c r="G53" s="46">
        <v>43800</v>
      </c>
      <c r="H53" s="16">
        <v>29.6</v>
      </c>
      <c r="I53" s="17">
        <v>36</v>
      </c>
      <c r="J53" s="33">
        <f t="shared" si="3"/>
        <v>1172.0591999999999</v>
      </c>
      <c r="K53" s="28">
        <v>20</v>
      </c>
      <c r="L53" s="31">
        <v>28</v>
      </c>
      <c r="M53" s="32">
        <v>32</v>
      </c>
      <c r="N53" s="34">
        <f t="shared" si="4"/>
        <v>253.56294256186601</v>
      </c>
      <c r="O53" s="34">
        <v>126.781471280933</v>
      </c>
      <c r="P53" s="32">
        <v>22</v>
      </c>
      <c r="Q53" s="32">
        <v>8</v>
      </c>
      <c r="R53" s="32">
        <v>40</v>
      </c>
    </row>
    <row r="54" spans="1:18" x14ac:dyDescent="0.25">
      <c r="A54" s="21">
        <v>27</v>
      </c>
      <c r="B54" s="19">
        <v>2400</v>
      </c>
      <c r="C54" s="11">
        <v>6.7</v>
      </c>
      <c r="D54" s="12">
        <v>5.48</v>
      </c>
      <c r="E54" s="42">
        <v>1.95</v>
      </c>
      <c r="F54" s="14">
        <v>494.88</v>
      </c>
      <c r="G54" s="46">
        <v>89016</v>
      </c>
      <c r="H54" s="16">
        <v>36.4</v>
      </c>
      <c r="I54" s="17">
        <v>34</v>
      </c>
      <c r="J54" s="33">
        <f t="shared" si="3"/>
        <v>1187.712</v>
      </c>
      <c r="K54" s="28">
        <v>23</v>
      </c>
      <c r="L54" s="31">
        <v>28</v>
      </c>
      <c r="M54" s="32">
        <v>36</v>
      </c>
      <c r="N54" s="34">
        <f t="shared" si="4"/>
        <v>338.81925192269398</v>
      </c>
      <c r="O54" s="34">
        <v>169.40962596134699</v>
      </c>
      <c r="P54" s="32">
        <v>26</v>
      </c>
      <c r="Q54" s="32">
        <v>7</v>
      </c>
      <c r="R54" s="32">
        <v>38</v>
      </c>
    </row>
    <row r="55" spans="1:18" x14ac:dyDescent="0.25">
      <c r="A55" s="21">
        <v>19</v>
      </c>
      <c r="B55" s="19">
        <v>1251</v>
      </c>
      <c r="C55" s="11">
        <v>7.02</v>
      </c>
      <c r="D55" s="12">
        <v>3.96</v>
      </c>
      <c r="E55" s="42">
        <v>1.94</v>
      </c>
      <c r="F55" s="14">
        <v>987.12</v>
      </c>
      <c r="G55" s="46">
        <v>46226</v>
      </c>
      <c r="H55" s="16">
        <v>30.4</v>
      </c>
      <c r="I55" s="17">
        <v>36</v>
      </c>
      <c r="J55" s="33">
        <f t="shared" si="3"/>
        <v>1234.8871200000001</v>
      </c>
      <c r="K55" s="28">
        <v>27</v>
      </c>
      <c r="L55" s="31">
        <v>26</v>
      </c>
      <c r="M55" s="32">
        <v>34</v>
      </c>
      <c r="N55" s="34">
        <f t="shared" si="4"/>
        <v>625.53342164612604</v>
      </c>
      <c r="O55" s="34">
        <v>312.76671082306302</v>
      </c>
      <c r="P55" s="32">
        <v>16</v>
      </c>
      <c r="Q55" s="32">
        <v>8</v>
      </c>
      <c r="R55" s="32">
        <v>34</v>
      </c>
    </row>
    <row r="56" spans="1:18" x14ac:dyDescent="0.25">
      <c r="A56" s="21">
        <v>49</v>
      </c>
      <c r="B56" s="19">
        <v>3150</v>
      </c>
      <c r="C56" s="11">
        <v>7.3</v>
      </c>
      <c r="D56" s="12">
        <v>8.9</v>
      </c>
      <c r="E56" s="42">
        <v>1.9</v>
      </c>
      <c r="F56" s="14">
        <v>367.06</v>
      </c>
      <c r="G56" s="46">
        <v>39180</v>
      </c>
      <c r="H56" s="16">
        <v>34.799999999999997</v>
      </c>
      <c r="I56" s="17">
        <v>18</v>
      </c>
      <c r="J56" s="33">
        <f t="shared" si="3"/>
        <v>1156.239</v>
      </c>
      <c r="K56" s="28">
        <v>21</v>
      </c>
      <c r="L56" s="31">
        <v>29</v>
      </c>
      <c r="M56" s="32">
        <v>30</v>
      </c>
      <c r="N56" s="34">
        <f t="shared" si="4"/>
        <v>891.249396045612</v>
      </c>
      <c r="O56" s="34">
        <v>445.624698022806</v>
      </c>
      <c r="P56" s="32">
        <v>16</v>
      </c>
      <c r="Q56" s="32">
        <v>8</v>
      </c>
      <c r="R56" s="32">
        <v>32</v>
      </c>
    </row>
    <row r="57" spans="1:18" x14ac:dyDescent="0.25">
      <c r="A57" s="21">
        <v>56</v>
      </c>
      <c r="B57" s="19">
        <v>3000</v>
      </c>
      <c r="C57" s="11">
        <v>7.28</v>
      </c>
      <c r="D57" s="12">
        <v>11.45</v>
      </c>
      <c r="E57" s="42">
        <v>1.88</v>
      </c>
      <c r="F57" s="14">
        <v>291.87</v>
      </c>
      <c r="G57" s="46">
        <v>75307</v>
      </c>
      <c r="H57" s="16">
        <v>34.799999999999997</v>
      </c>
      <c r="I57" s="17">
        <v>30</v>
      </c>
      <c r="J57" s="33">
        <f t="shared" si="3"/>
        <v>875.61</v>
      </c>
      <c r="K57" s="28">
        <v>22</v>
      </c>
      <c r="L57" s="31">
        <v>31</v>
      </c>
      <c r="M57" s="32">
        <v>30</v>
      </c>
      <c r="N57" s="34">
        <f t="shared" si="4"/>
        <v>860.38774383871805</v>
      </c>
      <c r="O57" s="34">
        <v>430.19387191935903</v>
      </c>
      <c r="P57" s="32">
        <v>22</v>
      </c>
      <c r="Q57" s="32">
        <v>8</v>
      </c>
      <c r="R57" s="32">
        <v>35</v>
      </c>
    </row>
    <row r="58" spans="1:18" x14ac:dyDescent="0.25">
      <c r="A58" s="21">
        <v>55</v>
      </c>
      <c r="B58" s="19">
        <v>2967</v>
      </c>
      <c r="C58" s="11">
        <v>6.98</v>
      </c>
      <c r="D58" s="12">
        <v>11.34</v>
      </c>
      <c r="E58" s="42">
        <v>1.85</v>
      </c>
      <c r="F58" s="14">
        <v>249.93</v>
      </c>
      <c r="G58" s="46">
        <v>78001</v>
      </c>
      <c r="H58" s="16">
        <v>32.200000000000003</v>
      </c>
      <c r="I58" s="17">
        <v>30</v>
      </c>
      <c r="J58" s="33">
        <f t="shared" si="3"/>
        <v>741.54231000000004</v>
      </c>
      <c r="K58" s="28">
        <v>18</v>
      </c>
      <c r="L58" s="31">
        <v>33</v>
      </c>
      <c r="M58" s="32">
        <v>27</v>
      </c>
      <c r="N58" s="34">
        <f t="shared" si="4"/>
        <v>966.62976476040001</v>
      </c>
      <c r="O58" s="34">
        <v>483.3148823802</v>
      </c>
      <c r="P58" s="32">
        <v>25</v>
      </c>
      <c r="Q58" s="32">
        <v>7</v>
      </c>
      <c r="R58" s="32">
        <v>34</v>
      </c>
    </row>
    <row r="59" spans="1:18" x14ac:dyDescent="0.25">
      <c r="A59" s="21">
        <v>23</v>
      </c>
      <c r="B59" s="19">
        <v>2761</v>
      </c>
      <c r="C59" s="11">
        <v>7.28</v>
      </c>
      <c r="D59" s="12">
        <v>4.24</v>
      </c>
      <c r="E59" s="42">
        <v>1.81</v>
      </c>
      <c r="F59" s="14">
        <v>368.02</v>
      </c>
      <c r="G59" s="46">
        <v>34097</v>
      </c>
      <c r="H59" s="16">
        <v>33.6</v>
      </c>
      <c r="I59" s="17">
        <v>20</v>
      </c>
      <c r="J59" s="33">
        <f t="shared" si="3"/>
        <v>1016.10322</v>
      </c>
      <c r="K59" s="28">
        <v>15</v>
      </c>
      <c r="L59" s="31">
        <v>35</v>
      </c>
      <c r="M59" s="32">
        <v>32</v>
      </c>
      <c r="N59" s="34">
        <f t="shared" si="4"/>
        <v>559.40716606823196</v>
      </c>
      <c r="O59" s="34">
        <v>279.70358303411598</v>
      </c>
      <c r="P59" s="32">
        <v>25</v>
      </c>
      <c r="Q59" s="32">
        <v>7</v>
      </c>
      <c r="R59" s="32">
        <v>32</v>
      </c>
    </row>
    <row r="60" spans="1:18" x14ac:dyDescent="0.25">
      <c r="A60" s="21">
        <v>39</v>
      </c>
      <c r="B60" s="19">
        <v>2270</v>
      </c>
      <c r="C60" s="11">
        <v>6.62</v>
      </c>
      <c r="D60" s="12">
        <v>7.39</v>
      </c>
      <c r="E60" s="42">
        <v>1.78</v>
      </c>
      <c r="F60" s="14">
        <v>323.17</v>
      </c>
      <c r="G60" s="46">
        <v>67099</v>
      </c>
      <c r="H60" s="16">
        <v>39.799999999999997</v>
      </c>
      <c r="I60" s="17">
        <v>25</v>
      </c>
      <c r="J60" s="33">
        <f t="shared" si="3"/>
        <v>733.59590000000003</v>
      </c>
      <c r="K60" s="28">
        <v>16</v>
      </c>
      <c r="L60" s="31">
        <v>35</v>
      </c>
      <c r="M60" s="32">
        <v>36</v>
      </c>
      <c r="N60" s="34">
        <f t="shared" si="4"/>
        <v>968.30998145559795</v>
      </c>
      <c r="O60" s="34">
        <v>484.15499072779897</v>
      </c>
      <c r="P60" s="32">
        <v>24</v>
      </c>
      <c r="Q60" s="32">
        <v>7</v>
      </c>
      <c r="R60" s="32">
        <v>31</v>
      </c>
    </row>
    <row r="61" spans="1:18" x14ac:dyDescent="0.25">
      <c r="A61" s="21">
        <v>74</v>
      </c>
      <c r="B61" s="19">
        <v>2400</v>
      </c>
      <c r="C61" s="11">
        <v>7.97</v>
      </c>
      <c r="D61" s="12">
        <v>28.81</v>
      </c>
      <c r="E61" s="42">
        <v>1.77</v>
      </c>
      <c r="F61" s="14">
        <v>326.54000000000002</v>
      </c>
      <c r="G61" s="46">
        <v>64225</v>
      </c>
      <c r="H61" s="16">
        <v>31.4</v>
      </c>
      <c r="I61" s="17">
        <v>15</v>
      </c>
      <c r="J61" s="33">
        <f t="shared" si="3"/>
        <v>783.69600000000003</v>
      </c>
      <c r="K61" s="28">
        <v>23</v>
      </c>
      <c r="L61" s="31">
        <v>32</v>
      </c>
      <c r="M61" s="32">
        <v>38</v>
      </c>
      <c r="N61" s="34">
        <f t="shared" si="4"/>
        <v>616.28093514244199</v>
      </c>
      <c r="O61" s="34">
        <v>308.140467571221</v>
      </c>
      <c r="P61" s="32">
        <v>23</v>
      </c>
      <c r="Q61" s="32">
        <v>7</v>
      </c>
      <c r="R61" s="32">
        <v>30</v>
      </c>
    </row>
    <row r="62" spans="1:18" x14ac:dyDescent="0.25">
      <c r="A62" s="21">
        <v>47</v>
      </c>
      <c r="B62" s="19">
        <v>2449</v>
      </c>
      <c r="C62" s="11">
        <v>7</v>
      </c>
      <c r="D62" s="12">
        <v>8.75</v>
      </c>
      <c r="E62" s="42">
        <v>1.76</v>
      </c>
      <c r="F62" s="14">
        <v>367.19</v>
      </c>
      <c r="G62" s="46">
        <v>73752</v>
      </c>
      <c r="H62" s="16">
        <v>40.5</v>
      </c>
      <c r="I62" s="17">
        <v>19</v>
      </c>
      <c r="J62" s="33">
        <f t="shared" si="3"/>
        <v>899.24830999999995</v>
      </c>
      <c r="K62" s="28">
        <v>15</v>
      </c>
      <c r="L62" s="31">
        <v>32</v>
      </c>
      <c r="M62" s="32">
        <v>34</v>
      </c>
      <c r="N62" s="34">
        <f t="shared" si="4"/>
        <v>585.41880932499998</v>
      </c>
      <c r="O62" s="34">
        <v>292.70940466249999</v>
      </c>
      <c r="P62" s="32">
        <v>23</v>
      </c>
      <c r="Q62" s="32">
        <v>7</v>
      </c>
      <c r="R62" s="32">
        <v>30</v>
      </c>
    </row>
    <row r="63" spans="1:18" x14ac:dyDescent="0.25">
      <c r="A63" s="21">
        <v>69</v>
      </c>
      <c r="B63" s="19">
        <v>3700</v>
      </c>
      <c r="C63" s="11">
        <v>7.65</v>
      </c>
      <c r="D63" s="12">
        <v>16.18</v>
      </c>
      <c r="E63" s="42">
        <v>1.68</v>
      </c>
      <c r="F63" s="14">
        <v>467.71</v>
      </c>
      <c r="G63" s="46">
        <v>48033</v>
      </c>
      <c r="H63" s="16">
        <v>30.3</v>
      </c>
      <c r="I63" s="17">
        <v>15</v>
      </c>
      <c r="J63" s="33">
        <f t="shared" si="3"/>
        <v>1730.527</v>
      </c>
      <c r="K63" s="28">
        <v>23</v>
      </c>
      <c r="L63" s="31">
        <v>34</v>
      </c>
      <c r="M63" s="32">
        <v>26</v>
      </c>
      <c r="N63" s="34">
        <f t="shared" si="4"/>
        <v>584.21302274980997</v>
      </c>
      <c r="O63" s="34">
        <v>292.10651137490498</v>
      </c>
      <c r="P63" s="32">
        <v>21</v>
      </c>
      <c r="Q63" s="32">
        <v>7</v>
      </c>
      <c r="R63" s="32">
        <v>34</v>
      </c>
    </row>
    <row r="64" spans="1:18" x14ac:dyDescent="0.25">
      <c r="A64" s="21">
        <v>3</v>
      </c>
      <c r="B64" s="19">
        <v>2453</v>
      </c>
      <c r="C64" s="11">
        <v>6.89</v>
      </c>
      <c r="D64" s="12">
        <v>-3.94</v>
      </c>
      <c r="E64" s="42">
        <v>1.66</v>
      </c>
      <c r="F64" s="14">
        <v>364.92</v>
      </c>
      <c r="G64" s="46">
        <v>51379</v>
      </c>
      <c r="H64" s="16">
        <v>40.299999999999997</v>
      </c>
      <c r="I64" s="17">
        <v>24</v>
      </c>
      <c r="J64" s="33">
        <f t="shared" si="3"/>
        <v>895.14876000000004</v>
      </c>
      <c r="K64" s="28">
        <v>15</v>
      </c>
      <c r="L64" s="31">
        <v>34</v>
      </c>
      <c r="M64" s="32">
        <v>30</v>
      </c>
      <c r="N64" s="34">
        <f t="shared" si="4"/>
        <v>951.69147208397999</v>
      </c>
      <c r="O64" s="34">
        <v>475.84573604198999</v>
      </c>
      <c r="P64" s="32">
        <v>21</v>
      </c>
      <c r="Q64" s="32">
        <v>8</v>
      </c>
      <c r="R64" s="32">
        <v>32</v>
      </c>
    </row>
    <row r="65" spans="1:18" x14ac:dyDescent="0.25">
      <c r="A65" s="21">
        <v>38</v>
      </c>
      <c r="B65" s="19">
        <v>2400</v>
      </c>
      <c r="C65" s="11">
        <v>7.64</v>
      </c>
      <c r="D65" s="12">
        <v>7.12</v>
      </c>
      <c r="E65" s="42">
        <v>1.64</v>
      </c>
      <c r="F65" s="14">
        <v>297.37</v>
      </c>
      <c r="G65" s="46">
        <v>63657</v>
      </c>
      <c r="H65" s="16">
        <v>37.299999999999997</v>
      </c>
      <c r="I65" s="17">
        <v>29</v>
      </c>
      <c r="J65" s="33">
        <f t="shared" si="3"/>
        <v>713.68799999999999</v>
      </c>
      <c r="K65" s="28">
        <v>16</v>
      </c>
      <c r="L65" s="31">
        <v>30</v>
      </c>
      <c r="M65" s="32">
        <v>35</v>
      </c>
      <c r="N65" s="34">
        <f t="shared" si="4"/>
        <v>365.44617201501597</v>
      </c>
      <c r="O65" s="34">
        <v>182.72308600750799</v>
      </c>
      <c r="P65" s="32">
        <v>20</v>
      </c>
      <c r="Q65" s="32">
        <v>8</v>
      </c>
      <c r="R65" s="32">
        <v>33</v>
      </c>
    </row>
    <row r="66" spans="1:18" x14ac:dyDescent="0.25">
      <c r="A66" s="21">
        <v>36</v>
      </c>
      <c r="B66" s="19">
        <v>2757</v>
      </c>
      <c r="C66" s="11">
        <v>6.75</v>
      </c>
      <c r="D66" s="12">
        <v>6.9</v>
      </c>
      <c r="E66" s="42">
        <v>1.62</v>
      </c>
      <c r="F66" s="14">
        <v>375.33</v>
      </c>
      <c r="G66" s="46">
        <v>65150</v>
      </c>
      <c r="H66" s="16">
        <v>40.700000000000003</v>
      </c>
      <c r="I66" s="17">
        <v>24</v>
      </c>
      <c r="J66" s="33">
        <f t="shared" si="3"/>
        <v>1034.7848099999999</v>
      </c>
      <c r="K66" s="28">
        <v>18</v>
      </c>
      <c r="L66" s="31">
        <v>35</v>
      </c>
      <c r="M66" s="32">
        <v>23</v>
      </c>
      <c r="N66" s="34">
        <f t="shared" si="4"/>
        <v>814.02022271425403</v>
      </c>
      <c r="O66" s="34">
        <v>407.01011135712702</v>
      </c>
      <c r="P66" s="32">
        <v>25</v>
      </c>
      <c r="Q66" s="32">
        <v>5</v>
      </c>
      <c r="R66" s="32">
        <v>36</v>
      </c>
    </row>
    <row r="67" spans="1:18" x14ac:dyDescent="0.25">
      <c r="A67" s="21">
        <v>29</v>
      </c>
      <c r="B67" s="19">
        <v>2549</v>
      </c>
      <c r="C67" s="11">
        <v>7.58</v>
      </c>
      <c r="D67" s="12">
        <v>5.91</v>
      </c>
      <c r="E67" s="42">
        <v>1.41</v>
      </c>
      <c r="F67" s="14">
        <v>373.46</v>
      </c>
      <c r="G67" s="46">
        <v>75366</v>
      </c>
      <c r="H67" s="16">
        <v>35</v>
      </c>
      <c r="I67" s="17">
        <v>30</v>
      </c>
      <c r="J67" s="33">
        <f t="shared" ref="J67:J76" si="5">B67*F67/1000</f>
        <v>951.94953999999996</v>
      </c>
      <c r="K67" s="28">
        <v>17</v>
      </c>
      <c r="L67" s="31">
        <v>32</v>
      </c>
      <c r="M67" s="32">
        <v>25</v>
      </c>
      <c r="N67" s="34">
        <f t="shared" ref="N67:N76" si="6">O67*1</f>
        <v>236.52084441601599</v>
      </c>
      <c r="O67" s="34">
        <v>236.52084441601599</v>
      </c>
      <c r="P67" s="32">
        <v>17</v>
      </c>
      <c r="Q67" s="32">
        <v>6</v>
      </c>
      <c r="R67" s="32">
        <v>31</v>
      </c>
    </row>
    <row r="68" spans="1:18" x14ac:dyDescent="0.25">
      <c r="A68" s="21">
        <v>46</v>
      </c>
      <c r="B68" s="19">
        <v>2500</v>
      </c>
      <c r="C68" s="11">
        <v>7.45</v>
      </c>
      <c r="D68" s="12">
        <v>8.7200000000000006</v>
      </c>
      <c r="E68" s="42">
        <v>1.28</v>
      </c>
      <c r="F68" s="14">
        <v>698.64</v>
      </c>
      <c r="G68" s="46">
        <v>87863</v>
      </c>
      <c r="H68" s="16">
        <v>38.5</v>
      </c>
      <c r="I68" s="17">
        <v>29</v>
      </c>
      <c r="J68" s="33">
        <f t="shared" si="5"/>
        <v>1746.6</v>
      </c>
      <c r="K68" s="28">
        <v>13</v>
      </c>
      <c r="L68" s="31">
        <v>26</v>
      </c>
      <c r="M68" s="32">
        <v>24</v>
      </c>
      <c r="N68" s="34">
        <f t="shared" si="6"/>
        <v>401.51374085757999</v>
      </c>
      <c r="O68" s="34">
        <v>401.51374085757999</v>
      </c>
      <c r="P68" s="32">
        <v>18</v>
      </c>
      <c r="Q68" s="32">
        <v>6</v>
      </c>
      <c r="R68" s="32">
        <v>28</v>
      </c>
    </row>
    <row r="69" spans="1:18" x14ac:dyDescent="0.25">
      <c r="A69" s="21">
        <v>65</v>
      </c>
      <c r="B69" s="19">
        <v>2650</v>
      </c>
      <c r="C69" s="11">
        <v>7.33</v>
      </c>
      <c r="D69" s="12">
        <v>14.23</v>
      </c>
      <c r="E69" s="42">
        <v>1.17</v>
      </c>
      <c r="F69" s="14">
        <v>348.33</v>
      </c>
      <c r="G69" s="46">
        <v>67925</v>
      </c>
      <c r="H69" s="16">
        <v>41.1</v>
      </c>
      <c r="I69" s="17">
        <v>16</v>
      </c>
      <c r="J69" s="33">
        <f t="shared" si="5"/>
        <v>923.07449999999994</v>
      </c>
      <c r="K69" s="28">
        <v>17</v>
      </c>
      <c r="L69" s="31">
        <v>24</v>
      </c>
      <c r="M69" s="32">
        <v>24</v>
      </c>
      <c r="N69" s="34">
        <f t="shared" si="6"/>
        <v>261.399415123621</v>
      </c>
      <c r="O69" s="34">
        <v>261.399415123621</v>
      </c>
      <c r="P69" s="32">
        <v>19</v>
      </c>
      <c r="Q69" s="32">
        <v>4</v>
      </c>
      <c r="R69" s="32">
        <v>27</v>
      </c>
    </row>
    <row r="70" spans="1:18" x14ac:dyDescent="0.25">
      <c r="A70" s="21">
        <v>72</v>
      </c>
      <c r="B70" s="19">
        <v>2450</v>
      </c>
      <c r="C70" s="11">
        <v>7.37</v>
      </c>
      <c r="D70" s="12">
        <v>20.76</v>
      </c>
      <c r="E70" s="42">
        <v>1.0900000000000001</v>
      </c>
      <c r="F70" s="14">
        <v>339.94</v>
      </c>
      <c r="G70" s="46">
        <v>60928</v>
      </c>
      <c r="H70" s="16">
        <v>43.5</v>
      </c>
      <c r="I70" s="17">
        <v>21</v>
      </c>
      <c r="J70" s="33">
        <f t="shared" si="5"/>
        <v>832.85299999999995</v>
      </c>
      <c r="K70" s="28">
        <v>14</v>
      </c>
      <c r="L70" s="31">
        <v>22</v>
      </c>
      <c r="M70" s="32">
        <v>22</v>
      </c>
      <c r="N70" s="34">
        <f t="shared" si="6"/>
        <v>401.29400529455501</v>
      </c>
      <c r="O70" s="34">
        <v>401.29400529455501</v>
      </c>
      <c r="P70" s="32">
        <v>15</v>
      </c>
      <c r="Q70" s="32">
        <v>4</v>
      </c>
      <c r="R70" s="32">
        <v>27</v>
      </c>
    </row>
    <row r="71" spans="1:18" x14ac:dyDescent="0.25">
      <c r="A71" s="21">
        <v>63</v>
      </c>
      <c r="B71" s="19">
        <v>3799</v>
      </c>
      <c r="C71" s="11">
        <v>7.87</v>
      </c>
      <c r="D71" s="12">
        <v>13.78</v>
      </c>
      <c r="E71" s="42">
        <v>1.07</v>
      </c>
      <c r="F71" s="14">
        <v>345.27</v>
      </c>
      <c r="G71" s="46">
        <v>59599</v>
      </c>
      <c r="H71" s="16">
        <v>35.6</v>
      </c>
      <c r="I71" s="17">
        <v>28</v>
      </c>
      <c r="J71" s="33">
        <f t="shared" si="5"/>
        <v>1311.68073</v>
      </c>
      <c r="K71" s="28">
        <v>13</v>
      </c>
      <c r="L71" s="31">
        <v>18</v>
      </c>
      <c r="M71" s="32">
        <v>22</v>
      </c>
      <c r="N71" s="34">
        <f t="shared" si="6"/>
        <v>249.75470380752799</v>
      </c>
      <c r="O71" s="34">
        <v>249.75470380752799</v>
      </c>
      <c r="P71" s="32">
        <v>15</v>
      </c>
      <c r="Q71" s="32">
        <v>3</v>
      </c>
      <c r="R71" s="32">
        <v>25</v>
      </c>
    </row>
    <row r="72" spans="1:18" x14ac:dyDescent="0.25">
      <c r="A72" s="21">
        <v>67</v>
      </c>
      <c r="B72" s="19">
        <v>2994</v>
      </c>
      <c r="C72" s="11">
        <v>7.21</v>
      </c>
      <c r="D72" s="12">
        <v>14.88</v>
      </c>
      <c r="E72" s="42">
        <v>0.93</v>
      </c>
      <c r="F72" s="14">
        <v>294.95</v>
      </c>
      <c r="G72" s="46">
        <v>75652</v>
      </c>
      <c r="H72" s="16">
        <v>40.5</v>
      </c>
      <c r="I72" s="17">
        <v>25</v>
      </c>
      <c r="J72" s="33">
        <f t="shared" si="5"/>
        <v>883.08029999999997</v>
      </c>
      <c r="K72" s="28">
        <v>15</v>
      </c>
      <c r="L72" s="31">
        <v>16</v>
      </c>
      <c r="M72" s="32">
        <v>20</v>
      </c>
      <c r="N72" s="34">
        <f t="shared" si="6"/>
        <v>332.08124832056097</v>
      </c>
      <c r="O72" s="34">
        <v>332.08124832056097</v>
      </c>
      <c r="P72" s="32">
        <v>14</v>
      </c>
      <c r="Q72" s="32">
        <v>5</v>
      </c>
      <c r="R72" s="32">
        <v>23</v>
      </c>
    </row>
    <row r="73" spans="1:18" x14ac:dyDescent="0.25">
      <c r="A73" s="21">
        <v>62</v>
      </c>
      <c r="B73" s="19">
        <v>2300</v>
      </c>
      <c r="C73" s="11">
        <v>7.33</v>
      </c>
      <c r="D73" s="12">
        <v>12.8</v>
      </c>
      <c r="E73" s="42">
        <v>0.87</v>
      </c>
      <c r="F73" s="14">
        <v>512.46</v>
      </c>
      <c r="G73" s="46">
        <v>92602</v>
      </c>
      <c r="H73" s="16">
        <v>39.299999999999997</v>
      </c>
      <c r="I73" s="17">
        <v>33</v>
      </c>
      <c r="J73" s="33">
        <f t="shared" si="5"/>
        <v>1178.6579999999999</v>
      </c>
      <c r="K73" s="28">
        <v>15</v>
      </c>
      <c r="L73" s="31">
        <v>14</v>
      </c>
      <c r="M73" s="32">
        <v>18</v>
      </c>
      <c r="N73" s="34">
        <f t="shared" si="6"/>
        <v>367.62850745459599</v>
      </c>
      <c r="O73" s="34">
        <v>367.62850745459599</v>
      </c>
      <c r="P73" s="32">
        <v>14</v>
      </c>
      <c r="Q73" s="32">
        <v>3</v>
      </c>
      <c r="R73" s="32">
        <v>22</v>
      </c>
    </row>
    <row r="74" spans="1:18" x14ac:dyDescent="0.25">
      <c r="A74" s="21">
        <v>21</v>
      </c>
      <c r="B74" s="19">
        <v>2625</v>
      </c>
      <c r="C74" s="11">
        <v>7.16</v>
      </c>
      <c r="D74" s="12">
        <v>4.05</v>
      </c>
      <c r="E74" s="42">
        <v>0.72</v>
      </c>
      <c r="F74" s="14">
        <v>405.77</v>
      </c>
      <c r="G74" s="46">
        <v>54982</v>
      </c>
      <c r="H74" s="16">
        <v>35.6</v>
      </c>
      <c r="I74" s="17">
        <v>26</v>
      </c>
      <c r="J74" s="33">
        <f t="shared" si="5"/>
        <v>1065.14625</v>
      </c>
      <c r="K74" s="28">
        <v>16</v>
      </c>
      <c r="L74" s="31">
        <v>14</v>
      </c>
      <c r="M74" s="32">
        <v>17</v>
      </c>
      <c r="N74" s="34">
        <f t="shared" si="6"/>
        <v>350.11081873216</v>
      </c>
      <c r="O74" s="34">
        <v>350.11081873216</v>
      </c>
      <c r="P74" s="32">
        <v>13</v>
      </c>
      <c r="Q74" s="32">
        <v>3</v>
      </c>
      <c r="R74" s="32">
        <v>18</v>
      </c>
    </row>
    <row r="75" spans="1:18" x14ac:dyDescent="0.25">
      <c r="A75" s="21">
        <v>73</v>
      </c>
      <c r="B75" s="19">
        <v>2575</v>
      </c>
      <c r="C75" s="11">
        <v>6.76</v>
      </c>
      <c r="D75" s="12">
        <v>25.54</v>
      </c>
      <c r="E75" s="42">
        <v>0.64</v>
      </c>
      <c r="F75" s="14">
        <v>400.82</v>
      </c>
      <c r="G75" s="46">
        <v>73762</v>
      </c>
      <c r="H75" s="16">
        <v>41.6</v>
      </c>
      <c r="I75" s="17">
        <v>29</v>
      </c>
      <c r="J75" s="33">
        <f t="shared" si="5"/>
        <v>1032.1115</v>
      </c>
      <c r="K75" s="28">
        <v>19</v>
      </c>
      <c r="L75" s="31">
        <v>12</v>
      </c>
      <c r="M75" s="32">
        <v>15</v>
      </c>
      <c r="N75" s="34">
        <f t="shared" si="6"/>
        <v>109.94485127050601</v>
      </c>
      <c r="O75" s="34">
        <v>109.94485127050601</v>
      </c>
      <c r="P75" s="32">
        <v>12</v>
      </c>
      <c r="Q75" s="32">
        <v>2</v>
      </c>
      <c r="R75" s="32">
        <v>16</v>
      </c>
    </row>
    <row r="76" spans="1:18" x14ac:dyDescent="0.25">
      <c r="A76" s="21">
        <v>54</v>
      </c>
      <c r="B76" s="19">
        <v>2986</v>
      </c>
      <c r="C76" s="11">
        <v>7.56</v>
      </c>
      <c r="D76" s="12">
        <v>10.97</v>
      </c>
      <c r="E76" s="42">
        <v>0.28999999999999998</v>
      </c>
      <c r="F76" s="14">
        <v>330.48</v>
      </c>
      <c r="G76" s="46">
        <v>55584</v>
      </c>
      <c r="H76" s="16">
        <v>36.799999999999997</v>
      </c>
      <c r="I76" s="17">
        <v>21</v>
      </c>
      <c r="J76" s="33">
        <f t="shared" si="5"/>
        <v>986.81328000000008</v>
      </c>
      <c r="K76" s="28">
        <v>10</v>
      </c>
      <c r="L76" s="31">
        <v>12</v>
      </c>
      <c r="M76" s="32">
        <v>15.5</v>
      </c>
      <c r="N76" s="34">
        <f t="shared" si="6"/>
        <v>297.01695146711899</v>
      </c>
      <c r="O76" s="34">
        <v>297.01695146711899</v>
      </c>
      <c r="P76" s="32">
        <v>12</v>
      </c>
      <c r="Q76" s="32">
        <v>2</v>
      </c>
      <c r="R76" s="32">
        <v>17</v>
      </c>
    </row>
    <row r="78" spans="1:18" x14ac:dyDescent="0.25">
      <c r="J78" t="s">
        <v>48</v>
      </c>
    </row>
  </sheetData>
  <sortState xmlns:xlrd2="http://schemas.microsoft.com/office/spreadsheetml/2017/richdata2" ref="A2:R76">
    <sortCondition descending="1" ref="E3:E76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3E7DF-D478-4A30-9F9E-437012CA7099}">
  <dimension ref="A1"/>
  <sheetViews>
    <sheetView workbookViewId="0">
      <selection activeCell="L9" sqref="L9"/>
    </sheetView>
  </sheetViews>
  <sheetFormatPr defaultRowHeight="12.5" x14ac:dyDescent="0.25"/>
  <cols>
    <col min="15" max="15" width="19.5429687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c3da832f-3ecf-443d-91e7-99457f1877f8" xsi:nil="true"/>
    <Comments xmlns="c3da832f-3ecf-443d-91e7-99457f1877f8" xsi:nil="true"/>
    <Links xmlns="c3da832f-3ecf-443d-91e7-99457f1877f8" xsi:nil="true"/>
    <lcf76f155ced4ddcb4097134ff3c332f xmlns="c3da832f-3ecf-443d-91e7-99457f1877f8">
      <Terms xmlns="http://schemas.microsoft.com/office/infopath/2007/PartnerControls"/>
    </lcf76f155ced4ddcb4097134ff3c332f>
    <TaxCatchAll xmlns="b06b1bca-4aad-41ab-bd2f-6e8d6f0c121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98F2D86927094FB725CCED44C41431" ma:contentTypeVersion="21" ma:contentTypeDescription="Create a new document." ma:contentTypeScope="" ma:versionID="58d9dbebab0cf4353b197705c66a18c3">
  <xsd:schema xmlns:xsd="http://www.w3.org/2001/XMLSchema" xmlns:xs="http://www.w3.org/2001/XMLSchema" xmlns:p="http://schemas.microsoft.com/office/2006/metadata/properties" xmlns:ns2="c3da832f-3ecf-443d-91e7-99457f1877f8" xmlns:ns3="b06b1bca-4aad-41ab-bd2f-6e8d6f0c1215" targetNamespace="http://schemas.microsoft.com/office/2006/metadata/properties" ma:root="true" ma:fieldsID="7136f64149389b8600c90a8027b04bd3" ns2:_="" ns3:_="">
    <xsd:import namespace="c3da832f-3ecf-443d-91e7-99457f1877f8"/>
    <xsd:import namespace="b06b1bca-4aad-41ab-bd2f-6e8d6f0c12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Comments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_Flow_SignoffStatu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ink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da832f-3ecf-443d-91e7-99457f1877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Comments" ma:index="13" nillable="true" ma:displayName="Comments" ma:description="5/3 Please map objectives, add notes, and provide suggested times" ma:internalName="Comments">
      <xsd:simpleType>
        <xsd:restriction base="dms:Note">
          <xsd:maxLength value="255"/>
        </xsd:restriction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_Flow_SignoffStatus" ma:index="18" nillable="true" ma:displayName="Sign-off status" ma:internalName="_x0024_Resources_x003a_core_x002c_Signoff_Status_x003b_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inks" ma:index="23" nillable="true" ma:displayName="Links" ma:format="Dropdown" ma:internalName="Links">
      <xsd:simpleType>
        <xsd:restriction base="dms:Note">
          <xsd:maxLength value="255"/>
        </xsd:restriction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4b78067e-a800-4cb2-917b-0a8270c59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6b1bca-4aad-41ab-bd2f-6e8d6f0c121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e2fdee8a-6f33-40dd-b6ff-712cc2b4115d}" ma:internalName="TaxCatchAll" ma:showField="CatchAllData" ma:web="b06b1bca-4aad-41ab-bd2f-6e8d6f0c12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6C6AD207-11BC-4003-AD22-BDEB699F25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B659F8-2109-48D8-BDF1-C2637C9DD4E5}">
  <ds:schemaRefs>
    <ds:schemaRef ds:uri="http://purl.org/dc/dcmitype/"/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b06b1bca-4aad-41ab-bd2f-6e8d6f0c1215"/>
    <ds:schemaRef ds:uri="c3da832f-3ecf-443d-91e7-99457f1877f8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DA3A16F5-F09A-4089-92EA-AF59F0F9BA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da832f-3ecf-443d-91e7-99457f1877f8"/>
    <ds:schemaRef ds:uri="b06b1bca-4aad-41ab-bd2f-6e8d6f0c12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3BA409F-F6CE-43FE-8F12-77C487B9B6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ChartDataSheet_</vt:lpstr>
      <vt:lpstr>Data</vt:lpstr>
      <vt:lpstr>PastaData</vt:lpstr>
      <vt:lpstr>Dashboard</vt:lpstr>
      <vt:lpstr>Data!Print_Titles</vt:lpstr>
    </vt:vector>
  </TitlesOfParts>
  <Manager/>
  <Company>The McGraw-Hill Companies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Pastas R Us Data (74 restaurants,45 variables)</dc:title>
  <dc:subject>Databases - ASBE 2/e</dc:subject>
  <dc:creator>Ashwin Gopal</dc:creator>
  <cp:keywords/>
  <dc:description>Copyright (c) 2008 by McGraw-Hill.  This material is intended solely for educational use by licensed users of LearningStats. It may not be copied or resold for profit.</dc:description>
  <cp:lastModifiedBy>Ashwin</cp:lastModifiedBy>
  <cp:revision/>
  <cp:lastPrinted>2025-03-30T16:22:28Z</cp:lastPrinted>
  <dcterms:created xsi:type="dcterms:W3CDTF">2007-03-19T12:20:58Z</dcterms:created>
  <dcterms:modified xsi:type="dcterms:W3CDTF">2025-03-30T16:28:21Z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0x0101007398F2D86927094FB725CCED44C41431</vt:lpwstr>
  </property>
  <property fmtid="{D5CDD505-2E9C-101B-9397-08002B2CF9AE}" pid="3" name="MediaServiceImageTags">
    <vt:lpwstr/>
  </property>
</Properties>
</file>